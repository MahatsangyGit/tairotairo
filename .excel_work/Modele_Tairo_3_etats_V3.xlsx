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320" windowHeight="15360" tabRatio="500" firstSheet="0" activeTab="1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arametre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Plan ventes" sheetId="5" state="visible" r:id="rId5"/>
    <sheet xmlns:r="http://schemas.openxmlformats.org/officeDocument/2006/relationships" name="Contribution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Bilan" sheetId="8" state="visible" r:id="rId8"/>
    <sheet xmlns:r="http://schemas.openxmlformats.org/officeDocument/2006/relationships" name="Amortissements" sheetId="9" state="visible" r:id="rId9"/>
    <sheet xmlns:r="http://schemas.openxmlformats.org/officeDocument/2006/relationships" name="Financement" sheetId="10" state="visible" r:id="rId10"/>
    <sheet xmlns:r="http://schemas.openxmlformats.org/officeDocument/2006/relationships" name="Tresorerie" sheetId="11" state="visible" r:id="rId11"/>
    <sheet xmlns:r="http://schemas.openxmlformats.org/officeDocument/2006/relationships" name="KPI" sheetId="12" state="visible" r:id="rId12"/>
    <sheet xmlns:r="http://schemas.openxmlformats.org/officeDocument/2006/relationships" name="Base graphique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#,##0&quot; Ar&quot;"/>
    <numFmt numFmtId="165" formatCode="0.0%"/>
    <numFmt numFmtId="166" formatCode="#,##0;\(#,##0\);&quot;-&quot;"/>
    <numFmt numFmtId="167" formatCode="#,##0.0"/>
    <numFmt numFmtId="168" formatCode="0.0"/>
    <numFmt numFmtId="169" formatCode="_ * #,##0_)_ ;_ * \(#,##0\)_ ;_ * &quot;-&quot;??_)_ ;_ @_ "/>
    <numFmt numFmtId="170" formatCode="_ * #,##0.00_)_ ;_ * \(#,##0.00\)_ ;_ * &quot;-&quot;??_)_ ;_ @_ "/>
    <numFmt numFmtId="171" formatCode="#,##0;\(#,##0\)"/>
    <numFmt numFmtId="172" formatCode="#,##0;(#,##0)"/>
  </numFmts>
  <fonts count="62">
    <font>
      <name val="Calibri"/>
      <charset val="1"/>
      <family val="2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FFFFFF"/>
      <sz val="11"/>
    </font>
    <font>
      <name val="Arial"/>
      <charset val="1"/>
      <family val="2"/>
      <sz val="10"/>
    </font>
    <font>
      <name val="Calibri"/>
      <charset val="1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b val="1"/>
      <color rgb="FFFFFFFF"/>
      <sz val="14"/>
    </font>
    <font>
      <name val="Calibri"/>
      <family val="2"/>
      <color rgb="FF000000"/>
      <sz val="10"/>
    </font>
    <font>
      <name val="Calibri"/>
      <family val="2"/>
      <color rgb="FF0000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1F4E79"/>
      <sz val="10"/>
    </font>
    <font>
      <name val="Calibri"/>
      <family val="2"/>
      <color rgb="FF595959"/>
      <sz val="10"/>
    </font>
    <font>
      <name val="Calibri"/>
      <family val="2"/>
      <color rgb="FF008000"/>
      <sz val="10"/>
    </font>
    <font>
      <name val="Calibri"/>
      <family val="2"/>
      <i val="1"/>
      <color rgb="FF595959"/>
      <sz val="9"/>
    </font>
    <font>
      <name val="Calibri"/>
      <family val="2"/>
      <b val="1"/>
      <color rgb="FF000000"/>
      <sz val="10"/>
    </font>
    <font>
      <name val="Calibri"/>
      <family val="2"/>
      <b val="1"/>
      <sz val="10"/>
    </font>
    <font>
      <name val="Calibri"/>
      <family val="2"/>
      <b val="1"/>
      <color rgb="FF595959"/>
      <sz val="10"/>
    </font>
    <font>
      <name val="Calibri"/>
      <family val="2"/>
      <b val="1"/>
      <i val="1"/>
      <color rgb="FF595959"/>
      <sz val="9"/>
    </font>
    <font>
      <name val="Calibri"/>
      <family val="2"/>
      <b val="1"/>
      <color rgb="FF0000FF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8000"/>
      <sz val="10"/>
    </font>
    <font>
      <name val="Calibri"/>
      <family val="2"/>
      <sz val="10"/>
    </font>
    <font>
      <name val="Calibri"/>
      <family val="2"/>
      <color rgb="FF0000FF"/>
      <sz val="10"/>
    </font>
    <font>
      <name val="Calibri"/>
      <family val="2"/>
      <color rgb="FF595959"/>
      <sz val="10"/>
    </font>
    <font>
      <name val="Calibri"/>
      <family val="2"/>
      <color rgb="FF000000"/>
      <sz val="10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8000"/>
      <sz val="10"/>
    </font>
    <font>
      <name val="Calibri"/>
      <family val="2"/>
      <b val="1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1F4E79"/>
      <sz val="10"/>
    </font>
    <font>
      <name val="Calibri"/>
      <family val="2"/>
      <color rgb="FF008000"/>
      <sz val="9"/>
    </font>
    <font>
      <name val="Calibri"/>
      <family val="2"/>
      <i val="1"/>
      <color rgb="FF595959"/>
      <sz val="9"/>
    </font>
    <font>
      <name val="Calibri"/>
      <family val="2"/>
      <b val="1"/>
      <sz val="10"/>
    </font>
    <font>
      <name val="Calibri"/>
      <family val="2"/>
      <b val="1"/>
      <color rgb="FF000000"/>
      <sz val="10"/>
    </font>
    <font>
      <name val="Calibri"/>
      <family val="2"/>
      <sz val="10"/>
    </font>
    <font>
      <name val="Calibri"/>
      <family val="2"/>
      <color rgb="FF000000"/>
      <sz val="10"/>
    </font>
    <font>
      <name val="Calibri"/>
      <family val="2"/>
      <b val="1"/>
      <color rgb="FF008000"/>
      <sz val="10"/>
    </font>
    <font>
      <name val="Calibri"/>
      <family val="2"/>
      <color rgb="FF008000"/>
      <sz val="10"/>
    </font>
    <font>
      <name val="Calibri"/>
      <family val="2"/>
      <color rgb="FF008000"/>
      <sz val="9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0000FF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0000FF"/>
      <sz val="10"/>
    </font>
    <font>
      <name val="Calibri"/>
      <color rgb="00595959"/>
      <sz val="10"/>
    </font>
    <font>
      <name val="Calibri"/>
      <color rgb="00008000"/>
      <sz val="10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b val="1"/>
      <color rgb="00595959"/>
      <sz val="10"/>
    </font>
    <font>
      <name val="Calibri"/>
      <b val="1"/>
      <color rgb="00000000"/>
      <sz val="10"/>
    </font>
    <font>
      <name val="Calibri"/>
      <b val="1"/>
      <i val="1"/>
      <color rgb="00595959"/>
      <sz val="9"/>
    </font>
    <font>
      <name val="Calibri"/>
      <b val="1"/>
      <color rgb="00008000"/>
      <sz val="10"/>
    </font>
    <font>
      <name val="Calibri"/>
      <b val="1"/>
      <color rgb="000000FF"/>
      <sz val="10"/>
    </font>
    <font>
      <name val="Calibri"/>
      <color rgb="00008000"/>
      <sz val="9"/>
    </font>
    <font>
      <name val="Calibri"/>
      <b val="1"/>
      <color rgb="00008000"/>
      <sz val="11"/>
    </font>
    <font>
      <name val="Calibri"/>
      <b val="1"/>
      <color rgb="001F4E79"/>
      <sz val="11"/>
    </font>
  </fonts>
  <fills count="16">
    <fill>
      <patternFill/>
    </fill>
    <fill>
      <patternFill patternType="gray125"/>
    </fill>
    <fill>
      <patternFill patternType="solid">
        <fgColor rgb="FF1F6E63"/>
        <bgColor rgb="FF008080"/>
      </patternFill>
    </fill>
    <fill>
      <patternFill patternType="solid">
        <fgColor rgb="FFDCEEEA"/>
        <bgColor rgb="FFE7EFFA"/>
      </patternFill>
    </fill>
    <fill>
      <patternFill patternType="solid">
        <fgColor rgb="FF1F4E79"/>
      </patternFill>
    </fill>
    <fill>
      <patternFill patternType="solid">
        <fgColor rgb="FFFFF6CC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6CC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001F4E79"/>
      </patternFill>
    </fill>
    <fill>
      <patternFill patternType="solid">
        <fgColor rgb="00FFF6CC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404040"/>
      </top>
      <bottom/>
      <diagonal/>
    </border>
    <border>
      <left/>
      <right/>
      <top/>
      <bottom/>
      <diagonal/>
    </border>
    <border>
      <left/>
      <right/>
      <top style="thin">
        <color rgb="FF404040"/>
      </top>
      <bottom/>
      <diagonal/>
    </border>
    <border/>
    <border>
      <bottom style="thin">
        <color rgb="00B2B2B2"/>
      </bottom>
    </border>
    <border>
      <top style="thin">
        <color rgb="00404040"/>
      </top>
    </border>
  </borders>
  <cellStyleXfs count="3">
    <xf numFmtId="0" fontId="4" fillId="0" borderId="6"/>
    <xf numFmtId="9" fontId="3" fillId="0" borderId="6"/>
    <xf numFmtId="43" fontId="4" fillId="0" borderId="6"/>
  </cellStyleXfs>
  <cellXfs count="226">
    <xf numFmtId="0" fontId="0" fillId="0" borderId="0" pivotButton="0" quotePrefix="0" xfId="0"/>
    <xf numFmtId="0" fontId="0" fillId="3" borderId="0" pivotButton="0" quotePrefix="0" xfId="0"/>
    <xf numFmtId="0" fontId="2" fillId="2" borderId="1" pivotButton="0" quotePrefix="0" xfId="0"/>
    <xf numFmtId="3" fontId="0" fillId="0" borderId="1" pivotButton="0" quotePrefix="0" xfId="0"/>
    <xf numFmtId="3" fontId="1" fillId="0" borderId="1" pivotButton="0" quotePrefix="0" xfId="0"/>
    <xf numFmtId="0" fontId="5" fillId="0" borderId="0" applyAlignment="1" pivotButton="0" quotePrefix="0" xfId="0">
      <alignment wrapText="1"/>
    </xf>
    <xf numFmtId="0" fontId="7" fillId="4" borderId="0" pivotButton="0" quotePrefix="0" xfId="0"/>
    <xf numFmtId="0" fontId="10" fillId="6" borderId="0" applyAlignment="1" pivotButton="0" quotePrefix="0" xfId="0">
      <alignment vertical="top" wrapText="1"/>
    </xf>
    <xf numFmtId="0" fontId="10" fillId="6" borderId="0" pivotButton="0" quotePrefix="0" xfId="0"/>
    <xf numFmtId="0" fontId="8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8" fillId="0" borderId="0" pivotButton="0" quotePrefix="0" xfId="0"/>
    <xf numFmtId="0" fontId="21" fillId="0" borderId="0" pivotButton="0" quotePrefix="0" xfId="0"/>
    <xf numFmtId="164" fontId="21" fillId="0" borderId="1" pivotButton="0" quotePrefix="0" xfId="0"/>
    <xf numFmtId="165" fontId="21" fillId="0" borderId="1" pivotButton="0" quotePrefix="0" xfId="0"/>
    <xf numFmtId="10" fontId="21" fillId="0" borderId="1" pivotButton="0" quotePrefix="0" xfId="0"/>
    <xf numFmtId="1" fontId="21" fillId="0" borderId="1" pivotButton="0" quotePrefix="0" xfId="0"/>
    <xf numFmtId="3" fontId="21" fillId="0" borderId="1" pivotButton="0" quotePrefix="0" xfId="0"/>
    <xf numFmtId="2" fontId="21" fillId="0" borderId="1" pivotButton="0" quotePrefix="0" xfId="0"/>
    <xf numFmtId="165" fontId="13" fillId="0" borderId="0" pivotButton="0" quotePrefix="0" xfId="0"/>
    <xf numFmtId="166" fontId="13" fillId="0" borderId="0" pivotButton="0" quotePrefix="0" xfId="0"/>
    <xf numFmtId="0" fontId="7" fillId="4" borderId="3" pivotButton="0" quotePrefix="0" xfId="0"/>
    <xf numFmtId="0" fontId="16" fillId="0" borderId="3" applyAlignment="1" pivotButton="0" quotePrefix="0" xfId="0">
      <alignment vertical="top" wrapText="1"/>
    </xf>
    <xf numFmtId="0" fontId="19" fillId="5" borderId="3" applyAlignment="1" pivotButton="0" quotePrefix="0" xfId="0">
      <alignment vertical="top"/>
    </xf>
    <xf numFmtId="0" fontId="6" fillId="0" borderId="3" pivotButton="0" quotePrefix="0" xfId="0"/>
    <xf numFmtId="0" fontId="6" fillId="0" borderId="3" applyAlignment="1" pivotButton="0" quotePrefix="0" xfId="0">
      <alignment vertical="top" wrapText="1"/>
    </xf>
    <xf numFmtId="0" fontId="20" fillId="0" borderId="3" applyAlignment="1" pivotButton="0" quotePrefix="0" xfId="0">
      <alignment vertical="top"/>
    </xf>
    <xf numFmtId="0" fontId="10" fillId="6" borderId="3" pivotButton="0" quotePrefix="0" xfId="0"/>
    <xf numFmtId="0" fontId="11" fillId="7" borderId="4" pivotButton="0" quotePrefix="0" xfId="0"/>
    <xf numFmtId="0" fontId="8" fillId="0" borderId="3" applyAlignment="1" pivotButton="0" quotePrefix="0" xfId="0">
      <alignment vertical="top" wrapText="1"/>
    </xf>
    <xf numFmtId="3" fontId="9" fillId="5" borderId="3" applyAlignment="1" pivotButton="0" quotePrefix="0" xfId="0">
      <alignment vertical="top"/>
    </xf>
    <xf numFmtId="0" fontId="12" fillId="0" borderId="3" applyAlignment="1" pivotButton="0" quotePrefix="0" xfId="0">
      <alignment vertical="top"/>
    </xf>
    <xf numFmtId="3" fontId="8" fillId="0" borderId="3" applyAlignment="1" pivotButton="0" quotePrefix="0" xfId="0">
      <alignment vertical="top"/>
    </xf>
    <xf numFmtId="167" fontId="9" fillId="5" borderId="3" applyAlignment="1" pivotButton="0" quotePrefix="0" xfId="0">
      <alignment vertical="top"/>
    </xf>
    <xf numFmtId="167" fontId="13" fillId="0" borderId="3" applyAlignment="1" pivotButton="0" quotePrefix="0" xfId="0">
      <alignment vertical="top"/>
    </xf>
    <xf numFmtId="165" fontId="9" fillId="5" borderId="3" applyAlignment="1" pivotButton="0" quotePrefix="0" xfId="0">
      <alignment vertical="top"/>
    </xf>
    <xf numFmtId="165" fontId="13" fillId="0" borderId="3" applyAlignment="1" pivotButton="0" quotePrefix="0" xfId="0">
      <alignment vertical="top"/>
    </xf>
    <xf numFmtId="3" fontId="13" fillId="0" borderId="3" applyAlignment="1" pivotButton="0" quotePrefix="0" xfId="0">
      <alignment vertical="top"/>
    </xf>
    <xf numFmtId="165" fontId="8" fillId="0" borderId="3" applyAlignment="1" pivotButton="0" quotePrefix="0" xfId="0">
      <alignment vertical="top"/>
    </xf>
    <xf numFmtId="0" fontId="15" fillId="0" borderId="5" applyAlignment="1" pivotButton="0" quotePrefix="0" xfId="0">
      <alignment vertical="top" wrapText="1"/>
    </xf>
    <xf numFmtId="0" fontId="16" fillId="0" borderId="5" pivotButton="0" quotePrefix="0" xfId="0"/>
    <xf numFmtId="0" fontId="17" fillId="0" borderId="5" applyAlignment="1" pivotButton="0" quotePrefix="0" xfId="0">
      <alignment vertical="top"/>
    </xf>
    <xf numFmtId="10" fontId="15" fillId="0" borderId="5" applyAlignment="1" pivotButton="0" quotePrefix="0" xfId="0">
      <alignment vertical="top"/>
    </xf>
    <xf numFmtId="165" fontId="15" fillId="0" borderId="5" applyAlignment="1" pivotButton="0" quotePrefix="0" xfId="0">
      <alignment vertical="top"/>
    </xf>
    <xf numFmtId="10" fontId="9" fillId="5" borderId="3" applyAlignment="1" pivotButton="0" quotePrefix="0" xfId="0">
      <alignment vertical="top"/>
    </xf>
    <xf numFmtId="0" fontId="14" fillId="0" borderId="3" applyAlignment="1" pivotButton="0" quotePrefix="0" xfId="0">
      <alignment vertical="top" wrapText="1"/>
    </xf>
    <xf numFmtId="10" fontId="13" fillId="0" borderId="3" applyAlignment="1" pivotButton="0" quotePrefix="0" xfId="0">
      <alignment vertical="top"/>
    </xf>
    <xf numFmtId="4" fontId="9" fillId="5" borderId="3" applyAlignment="1" pivotButton="0" quotePrefix="0" xfId="0">
      <alignment vertical="top"/>
    </xf>
    <xf numFmtId="4" fontId="8" fillId="0" borderId="3" applyAlignment="1" pivotButton="0" quotePrefix="0" xfId="0">
      <alignment vertical="top"/>
    </xf>
    <xf numFmtId="166" fontId="9" fillId="5" borderId="3" applyAlignment="1" pivotButton="0" quotePrefix="0" xfId="0">
      <alignment vertical="top"/>
    </xf>
    <xf numFmtId="166" fontId="13" fillId="0" borderId="3" applyAlignment="1" pivotButton="0" quotePrefix="0" xfId="0">
      <alignment vertical="top"/>
    </xf>
    <xf numFmtId="3" fontId="15" fillId="0" borderId="5" applyAlignment="1" pivotButton="0" quotePrefix="0" xfId="0">
      <alignment vertical="top"/>
    </xf>
    <xf numFmtId="168" fontId="9" fillId="5" borderId="3" applyAlignment="1" pivotButton="0" quotePrefix="0" xfId="0">
      <alignment vertical="top"/>
    </xf>
    <xf numFmtId="168" fontId="8" fillId="0" borderId="3" applyAlignment="1" pivotButton="0" quotePrefix="0" xfId="0">
      <alignment vertical="top"/>
    </xf>
    <xf numFmtId="9" fontId="9" fillId="5" borderId="3" applyAlignment="1" pivotButton="0" quotePrefix="0" xfId="0">
      <alignment vertical="top"/>
    </xf>
    <xf numFmtId="9" fontId="8" fillId="0" borderId="3" applyAlignment="1" pivotButton="0" quotePrefix="0" xfId="0">
      <alignment vertical="top"/>
    </xf>
    <xf numFmtId="1" fontId="9" fillId="5" borderId="3" applyAlignment="1" pivotButton="0" quotePrefix="0" xfId="0">
      <alignment vertical="top"/>
    </xf>
    <xf numFmtId="1" fontId="8" fillId="0" borderId="3" applyAlignment="1" pivotButton="0" quotePrefix="0" xfId="0">
      <alignment vertical="top"/>
    </xf>
    <xf numFmtId="9" fontId="9" fillId="5" borderId="3" applyAlignment="1" pivotButton="0" quotePrefix="0" xfId="1">
      <alignment vertical="top"/>
    </xf>
    <xf numFmtId="9" fontId="15" fillId="0" borderId="5" applyAlignment="1" pivotButton="0" quotePrefix="0" xfId="0">
      <alignment vertical="top"/>
    </xf>
    <xf numFmtId="0" fontId="18" fillId="0" borderId="5" applyAlignment="1" pivotButton="0" quotePrefix="0" xfId="0">
      <alignment vertical="top" wrapText="1"/>
    </xf>
    <xf numFmtId="169" fontId="9" fillId="5" borderId="3" applyAlignment="1" pivotButton="0" quotePrefix="0" xfId="0">
      <alignment vertical="top"/>
    </xf>
    <xf numFmtId="170" fontId="8" fillId="0" borderId="3" applyAlignment="1" pivotButton="0" quotePrefix="0" xfId="0">
      <alignment vertical="top"/>
    </xf>
    <xf numFmtId="0" fontId="9" fillId="5" borderId="3" applyAlignment="1" pivotButton="0" quotePrefix="0" xfId="0">
      <alignment vertical="top"/>
    </xf>
    <xf numFmtId="0" fontId="13" fillId="0" borderId="3" applyAlignment="1" pivotButton="0" quotePrefix="0" xfId="0">
      <alignment vertical="top"/>
    </xf>
    <xf numFmtId="0" fontId="6" fillId="0" borderId="3" pivotButton="0" quotePrefix="0" xfId="2"/>
    <xf numFmtId="10" fontId="8" fillId="0" borderId="3" applyAlignment="1" pivotButton="0" quotePrefix="0" xfId="0">
      <alignment vertical="top"/>
    </xf>
    <xf numFmtId="0" fontId="11" fillId="7" borderId="1" pivotButton="0" quotePrefix="0" xfId="0"/>
    <xf numFmtId="0" fontId="11" fillId="7" borderId="0" pivotButton="0" quotePrefix="0" xfId="0"/>
    <xf numFmtId="2" fontId="9" fillId="5" borderId="1" pivotButton="0" quotePrefix="0" xfId="0"/>
    <xf numFmtId="2" fontId="13" fillId="0" borderId="1" pivotButton="0" quotePrefix="0" xfId="0"/>
    <xf numFmtId="1" fontId="11" fillId="7" borderId="0" pivotButton="0" quotePrefix="0" xfId="0"/>
    <xf numFmtId="0" fontId="15" fillId="0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21" fillId="0" borderId="0" pivotButton="0" quotePrefix="0" xfId="0"/>
    <xf numFmtId="171" fontId="13" fillId="0" borderId="0" pivotButton="0" quotePrefix="0" xfId="0"/>
    <xf numFmtId="171" fontId="8" fillId="0" borderId="0" pivotButton="0" quotePrefix="0" xfId="0"/>
    <xf numFmtId="171" fontId="21" fillId="0" borderId="0" pivotButton="0" quotePrefix="0" xfId="0"/>
    <xf numFmtId="171" fontId="15" fillId="0" borderId="0" pivotButton="0" quotePrefix="0" xfId="0"/>
    <xf numFmtId="1" fontId="13" fillId="0" borderId="0" pivotButton="0" quotePrefix="0" xfId="0"/>
    <xf numFmtId="168" fontId="13" fillId="0" borderId="0" pivotButton="0" quotePrefix="0" xfId="0"/>
    <xf numFmtId="168" fontId="8" fillId="0" borderId="0" pivotButton="0" quotePrefix="0" xfId="0"/>
    <xf numFmtId="165" fontId="8" fillId="0" borderId="0" pivotButton="0" quotePrefix="0" xfId="0"/>
    <xf numFmtId="0" fontId="8" fillId="0" borderId="0" applyAlignment="1" pivotButton="0" quotePrefix="0" xfId="0">
      <alignment vertical="center" wrapText="1"/>
    </xf>
    <xf numFmtId="171" fontId="13" fillId="0" borderId="2" pivotButton="0" quotePrefix="0" xfId="0"/>
    <xf numFmtId="0" fontId="15" fillId="0" borderId="0" applyAlignment="1" pivotButton="0" quotePrefix="0" xfId="0">
      <alignment vertical="center" wrapText="1"/>
    </xf>
    <xf numFmtId="171" fontId="8" fillId="0" borderId="2" pivotButton="0" quotePrefix="0" xfId="0"/>
    <xf numFmtId="165" fontId="8" fillId="0" borderId="2" pivotButton="0" quotePrefix="0" xfId="0"/>
    <xf numFmtId="0" fontId="8" fillId="0" borderId="0" applyAlignment="1" pivotButton="0" quotePrefix="0" xfId="0">
      <alignment wrapText="1"/>
    </xf>
    <xf numFmtId="0" fontId="15" fillId="0" borderId="1" pivotButton="0" quotePrefix="0" xfId="0"/>
    <xf numFmtId="0" fontId="10" fillId="6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8" fillId="0" borderId="0" applyAlignment="1" pivotButton="0" quotePrefix="0" xfId="0">
      <alignment horizontal="center"/>
    </xf>
    <xf numFmtId="3" fontId="13" fillId="0" borderId="1" pivotButton="0" quotePrefix="0" xfId="0"/>
    <xf numFmtId="3" fontId="8" fillId="0" borderId="1" pivotButton="0" quotePrefix="0" xfId="0"/>
    <xf numFmtId="3" fontId="15" fillId="0" borderId="1" pivotButton="0" quotePrefix="0" xfId="0"/>
    <xf numFmtId="10" fontId="13" fillId="0" borderId="0" pivotButton="0" quotePrefix="0" xfId="0"/>
    <xf numFmtId="10" fontId="8" fillId="0" borderId="0" pivotButton="0" quotePrefix="0" xfId="0"/>
    <xf numFmtId="2" fontId="15" fillId="0" borderId="0" pivotButton="0" quotePrefix="0" xfId="0"/>
    <xf numFmtId="2" fontId="8" fillId="0" borderId="0" pivotButton="0" quotePrefix="0" xfId="0"/>
    <xf numFmtId="0" fontId="22" fillId="0" borderId="6" applyAlignment="1" pivotButton="0" quotePrefix="0" xfId="0">
      <alignment vertical="top" wrapText="1"/>
    </xf>
    <xf numFmtId="171" fontId="23" fillId="8" borderId="6" applyAlignment="1" pivotButton="0" quotePrefix="0" xfId="0">
      <alignment vertical="top"/>
    </xf>
    <xf numFmtId="0" fontId="24" fillId="0" borderId="6" applyAlignment="1" pivotButton="0" quotePrefix="0" xfId="0">
      <alignment vertical="top"/>
    </xf>
    <xf numFmtId="171" fontId="25" fillId="0" borderId="6" applyAlignment="1" pivotButton="0" quotePrefix="0" xfId="0">
      <alignment vertical="top"/>
    </xf>
    <xf numFmtId="0" fontId="26" fillId="0" borderId="6" applyAlignment="1" pivotButton="0" quotePrefix="0" xfId="0">
      <alignment vertical="top" wrapText="1"/>
    </xf>
    <xf numFmtId="0" fontId="6" fillId="0" borderId="6" pivotButton="0" quotePrefix="0" xfId="0"/>
    <xf numFmtId="1" fontId="23" fillId="8" borderId="6" applyAlignment="1" pivotButton="0" quotePrefix="0" xfId="0">
      <alignment vertical="top"/>
    </xf>
    <xf numFmtId="1" fontId="25" fillId="0" borderId="6" applyAlignment="1" pivotButton="0" quotePrefix="0" xfId="0">
      <alignment vertical="top"/>
    </xf>
    <xf numFmtId="165" fontId="23" fillId="8" borderId="6" applyAlignment="1" pivotButton="0" quotePrefix="0" xfId="0">
      <alignment vertical="top"/>
    </xf>
    <xf numFmtId="165" fontId="25" fillId="0" borderId="6" applyAlignment="1" pivotButton="0" quotePrefix="0" xfId="0">
      <alignment vertical="top"/>
    </xf>
    <xf numFmtId="0" fontId="0" fillId="0" borderId="6" pivotButton="0" quotePrefix="0" xfId="0"/>
    <xf numFmtId="0" fontId="27" fillId="9" borderId="6" pivotButton="0" quotePrefix="0" xfId="0"/>
    <xf numFmtId="0" fontId="22" fillId="0" borderId="6" pivotButton="0" quotePrefix="0" xfId="0"/>
    <xf numFmtId="0" fontId="28" fillId="10" borderId="6" pivotButton="0" quotePrefix="0" xfId="0"/>
    <xf numFmtId="171" fontId="29" fillId="0" borderId="6" pivotButton="0" quotePrefix="0" xfId="0"/>
    <xf numFmtId="0" fontId="26" fillId="0" borderId="6" applyAlignment="1" pivotButton="0" quotePrefix="0" xfId="0">
      <alignment vertical="top"/>
    </xf>
    <xf numFmtId="1" fontId="29" fillId="0" borderId="6" pivotButton="0" quotePrefix="0" xfId="0"/>
    <xf numFmtId="0" fontId="30" fillId="0" borderId="6" pivotButton="0" quotePrefix="0" xfId="0"/>
    <xf numFmtId="171" fontId="31" fillId="0" borderId="6" pivotButton="0" quotePrefix="0" xfId="0"/>
    <xf numFmtId="0" fontId="30" fillId="0" borderId="7" pivotButton="0" quotePrefix="0" xfId="0"/>
    <xf numFmtId="171" fontId="31" fillId="0" borderId="7" pivotButton="0" quotePrefix="0" xfId="0"/>
    <xf numFmtId="165" fontId="25" fillId="0" borderId="6" pivotButton="0" quotePrefix="0" xfId="0"/>
    <xf numFmtId="171" fontId="25" fillId="0" borderId="6" pivotButton="0" quotePrefix="0" xfId="0"/>
    <xf numFmtId="165" fontId="29" fillId="0" borderId="6" pivotButton="0" quotePrefix="0" xfId="0"/>
    <xf numFmtId="0" fontId="32" fillId="11" borderId="6" pivotButton="0" quotePrefix="0" xfId="0"/>
    <xf numFmtId="1" fontId="32" fillId="11" borderId="6" pivotButton="0" quotePrefix="0" xfId="0"/>
    <xf numFmtId="171" fontId="30" fillId="0" borderId="6" pivotButton="0" quotePrefix="0" xfId="0"/>
    <xf numFmtId="171" fontId="22" fillId="0" borderId="6" pivotButton="0" quotePrefix="0" xfId="0"/>
    <xf numFmtId="171" fontId="33" fillId="0" borderId="6" pivotButton="0" quotePrefix="0" xfId="0"/>
    <xf numFmtId="0" fontId="34" fillId="0" borderId="6" applyAlignment="1" pivotButton="0" quotePrefix="0" xfId="0">
      <alignment vertical="top" wrapText="1"/>
    </xf>
    <xf numFmtId="0" fontId="35" fillId="0" borderId="6" pivotButton="0" quotePrefix="0" xfId="0"/>
    <xf numFmtId="171" fontId="36" fillId="0" borderId="6" pivotButton="0" quotePrefix="0" xfId="0"/>
    <xf numFmtId="0" fontId="34" fillId="0" borderId="6" applyAlignment="1" pivotButton="0" quotePrefix="0" xfId="0">
      <alignment vertical="top"/>
    </xf>
    <xf numFmtId="0" fontId="37" fillId="0" borderId="6" pivotButton="0" quotePrefix="0" xfId="0"/>
    <xf numFmtId="171" fontId="38" fillId="0" borderId="6" pivotButton="0" quotePrefix="0" xfId="0"/>
    <xf numFmtId="171" fontId="39" fillId="0" borderId="6" pivotButton="0" quotePrefix="0" xfId="0"/>
    <xf numFmtId="0" fontId="36" fillId="0" borderId="6" pivotButton="0" quotePrefix="0" xfId="0"/>
    <xf numFmtId="171" fontId="40" fillId="0" borderId="6" pivotButton="0" quotePrefix="0" xfId="0"/>
    <xf numFmtId="171" fontId="34" fillId="0" borderId="6" applyAlignment="1" pivotButton="0" quotePrefix="0" xfId="0">
      <alignment vertical="top"/>
    </xf>
    <xf numFmtId="0" fontId="34" fillId="0" borderId="6" pivotButton="0" quotePrefix="0" xfId="0"/>
    <xf numFmtId="171" fontId="41" fillId="0" borderId="6" pivotButton="0" quotePrefix="0" xfId="0"/>
    <xf numFmtId="0" fontId="7" fillId="4" borderId="6" pivotButton="0" quotePrefix="0" xfId="0"/>
    <xf numFmtId="0" fontId="0" fillId="0" borderId="0" pivotButton="0" quotePrefix="0" xfId="0"/>
    <xf numFmtId="0" fontId="8" fillId="0" borderId="6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14" fillId="0" borderId="6" applyAlignment="1" pivotButton="0" quotePrefix="0" xfId="0">
      <alignment vertical="top" wrapText="1"/>
    </xf>
    <xf numFmtId="0" fontId="44" fillId="0" borderId="8" pivotButton="0" quotePrefix="0" xfId="0"/>
    <xf numFmtId="0" fontId="60" fillId="0" borderId="8" pivotButton="0" quotePrefix="0" xfId="0"/>
    <xf numFmtId="0" fontId="42" fillId="0" borderId="8" pivotButton="0" quotePrefix="0" xfId="0"/>
    <xf numFmtId="0" fontId="47" fillId="14" borderId="8" pivotButton="0" quotePrefix="0" xfId="0"/>
    <xf numFmtId="164" fontId="51" fillId="0" borderId="8" pivotButton="0" quotePrefix="0" xfId="0"/>
    <xf numFmtId="165" fontId="51" fillId="0" borderId="8" pivotButton="0" quotePrefix="0" xfId="0"/>
    <xf numFmtId="1" fontId="51" fillId="0" borderId="8" pivotButton="0" quotePrefix="0" xfId="0"/>
    <xf numFmtId="2" fontId="51" fillId="0" borderId="8" pivotButton="0" quotePrefix="0" xfId="0"/>
    <xf numFmtId="167" fontId="51" fillId="0" borderId="8" pivotButton="0" quotePrefix="0" xfId="0"/>
    <xf numFmtId="164" fontId="57" fillId="0" borderId="8" pivotButton="0" quotePrefix="0" xfId="0"/>
    <xf numFmtId="0" fontId="57" fillId="0" borderId="8" pivotButton="0" quotePrefix="0" xfId="0"/>
    <xf numFmtId="3" fontId="51" fillId="0" borderId="8" pivotButton="0" quotePrefix="0" xfId="0"/>
    <xf numFmtId="0" fontId="43" fillId="12" borderId="8" pivotButton="0" quotePrefix="0" xfId="0"/>
    <xf numFmtId="0" fontId="45" fillId="13" borderId="8" pivotButton="0" quotePrefix="0" xfId="0"/>
    <xf numFmtId="0" fontId="46" fillId="0" borderId="8" pivotButton="0" quotePrefix="0" xfId="0"/>
    <xf numFmtId="0" fontId="48" fillId="15" borderId="9" pivotButton="0" quotePrefix="0" xfId="0"/>
    <xf numFmtId="0" fontId="42" fillId="0" borderId="8" applyAlignment="1" pivotButton="0" quotePrefix="0" xfId="0">
      <alignment vertical="top" wrapText="1"/>
    </xf>
    <xf numFmtId="3" fontId="49" fillId="13" borderId="8" pivotButton="0" quotePrefix="0" xfId="0"/>
    <xf numFmtId="0" fontId="50" fillId="0" borderId="8" pivotButton="0" quotePrefix="0" xfId="0"/>
    <xf numFmtId="0" fontId="52" fillId="0" borderId="8" applyAlignment="1" pivotButton="0" quotePrefix="0" xfId="0">
      <alignment vertical="top" wrapText="1"/>
    </xf>
    <xf numFmtId="172" fontId="49" fillId="13" borderId="8" pivotButton="0" quotePrefix="0" xfId="0"/>
    <xf numFmtId="172" fontId="51" fillId="0" borderId="8" pivotButton="0" quotePrefix="0" xfId="0"/>
    <xf numFmtId="165" fontId="49" fillId="13" borderId="8" pivotButton="0" quotePrefix="0" xfId="0"/>
    <xf numFmtId="165" fontId="53" fillId="0" borderId="8" pivotButton="0" quotePrefix="0" xfId="0"/>
    <xf numFmtId="0" fontId="44" fillId="0" borderId="10" applyAlignment="1" pivotButton="0" quotePrefix="0" xfId="0">
      <alignment vertical="top" wrapText="1"/>
    </xf>
    <xf numFmtId="0" fontId="44" fillId="0" borderId="10" pivotButton="0" quotePrefix="0" xfId="0"/>
    <xf numFmtId="0" fontId="54" fillId="0" borderId="10" pivotButton="0" quotePrefix="0" xfId="0"/>
    <xf numFmtId="10" fontId="55" fillId="0" borderId="10" pivotButton="0" quotePrefix="0" xfId="0"/>
    <xf numFmtId="165" fontId="55" fillId="0" borderId="10" pivotButton="0" quotePrefix="0" xfId="0"/>
    <xf numFmtId="172" fontId="53" fillId="0" borderId="8" pivotButton="0" quotePrefix="0" xfId="0"/>
    <xf numFmtId="10" fontId="51" fillId="0" borderId="8" pivotButton="0" quotePrefix="0" xfId="0"/>
    <xf numFmtId="2" fontId="49" fillId="13" borderId="8" pivotButton="0" quotePrefix="0" xfId="0"/>
    <xf numFmtId="2" fontId="53" fillId="0" borderId="8" pivotButton="0" quotePrefix="0" xfId="0"/>
    <xf numFmtId="1" fontId="49" fillId="13" borderId="8" pivotButton="0" quotePrefix="0" xfId="0"/>
    <xf numFmtId="1" fontId="53" fillId="0" borderId="8" pivotButton="0" quotePrefix="0" xfId="0"/>
    <xf numFmtId="167" fontId="49" fillId="13" borderId="8" pivotButton="0" quotePrefix="0" xfId="0"/>
    <xf numFmtId="3" fontId="53" fillId="0" borderId="8" pivotButton="0" quotePrefix="0" xfId="0"/>
    <xf numFmtId="3" fontId="49" fillId="13" borderId="8" pivotButton="0" quotePrefix="0" xfId="1"/>
    <xf numFmtId="10" fontId="49" fillId="13" borderId="8" pivotButton="0" quotePrefix="0" xfId="0"/>
    <xf numFmtId="10" fontId="53" fillId="0" borderId="8" pivotButton="0" quotePrefix="0" xfId="0"/>
    <xf numFmtId="4" fontId="49" fillId="13" borderId="8" pivotButton="0" quotePrefix="0" xfId="0"/>
    <xf numFmtId="4" fontId="53" fillId="0" borderId="8" pivotButton="0" quotePrefix="0" xfId="0"/>
    <xf numFmtId="172" fontId="55" fillId="0" borderId="10" pivotButton="0" quotePrefix="0" xfId="0"/>
    <xf numFmtId="172" fontId="49" fillId="13" borderId="8" pivotButton="0" quotePrefix="0" xfId="2"/>
    <xf numFmtId="172" fontId="51" fillId="0" borderId="8" pivotButton="0" quotePrefix="0" xfId="2"/>
    <xf numFmtId="0" fontId="56" fillId="0" borderId="10" applyAlignment="1" pivotButton="0" quotePrefix="0" xfId="0">
      <alignment vertical="top" wrapText="1"/>
    </xf>
    <xf numFmtId="0" fontId="52" fillId="0" borderId="8" pivotButton="0" quotePrefix="0" xfId="0"/>
    <xf numFmtId="0" fontId="42" fillId="0" borderId="10" pivotButton="0" quotePrefix="0" xfId="0"/>
    <xf numFmtId="172" fontId="44" fillId="0" borderId="10" pivotButton="0" quotePrefix="0" xfId="0"/>
    <xf numFmtId="0" fontId="42" fillId="0" borderId="0" applyAlignment="1" pivotButton="0" quotePrefix="0" xfId="0">
      <alignment vertical="top" wrapText="1"/>
    </xf>
    <xf numFmtId="165" fontId="49" fillId="13" borderId="0" pivotButton="0" quotePrefix="0" xfId="0"/>
    <xf numFmtId="0" fontId="50" fillId="0" borderId="0" pivotButton="0" quotePrefix="0" xfId="0"/>
    <xf numFmtId="10" fontId="49" fillId="13" borderId="0" pivotButton="0" quotePrefix="0" xfId="0"/>
    <xf numFmtId="1" fontId="49" fillId="13" borderId="0" pivotButton="0" quotePrefix="0" xfId="0"/>
    <xf numFmtId="1" fontId="48" fillId="15" borderId="9" pivotButton="0" quotePrefix="0" xfId="0"/>
    <xf numFmtId="167" fontId="53" fillId="0" borderId="8" pivotButton="0" quotePrefix="0" xfId="0"/>
    <xf numFmtId="167" fontId="55" fillId="0" borderId="8" pivotButton="0" quotePrefix="0" xfId="0"/>
    <xf numFmtId="167" fontId="57" fillId="0" borderId="8" pivotButton="0" quotePrefix="0" xfId="0"/>
    <xf numFmtId="172" fontId="55" fillId="0" borderId="8" pivotButton="0" quotePrefix="0" xfId="0"/>
    <xf numFmtId="172" fontId="57" fillId="0" borderId="8" pivotButton="0" quotePrefix="0" xfId="0"/>
    <xf numFmtId="1" fontId="58" fillId="0" borderId="8" pivotButton="0" quotePrefix="0" xfId="0"/>
    <xf numFmtId="1" fontId="57" fillId="0" borderId="8" pivotButton="0" quotePrefix="0" xfId="0"/>
    <xf numFmtId="171" fontId="13" fillId="0" borderId="2" pivotButton="0" quotePrefix="0" xfId="0"/>
    <xf numFmtId="171" fontId="51" fillId="0" borderId="2" pivotButton="0" quotePrefix="0" xfId="0"/>
    <xf numFmtId="171" fontId="8" fillId="0" borderId="2" pivotButton="0" quotePrefix="0" xfId="0"/>
    <xf numFmtId="171" fontId="57" fillId="0" borderId="0" pivotButton="0" quotePrefix="0" xfId="0"/>
    <xf numFmtId="171" fontId="51" fillId="0" borderId="0" pivotButton="0" quotePrefix="0" xfId="0"/>
    <xf numFmtId="171" fontId="15" fillId="0" borderId="0" pivotButton="0" quotePrefix="0" xfId="0"/>
    <xf numFmtId="171" fontId="13" fillId="0" borderId="0" pivotButton="0" quotePrefix="0" xfId="0"/>
    <xf numFmtId="171" fontId="8" fillId="0" borderId="0" pivotButton="0" quotePrefix="0" xfId="0"/>
    <xf numFmtId="0" fontId="52" fillId="0" borderId="8" applyAlignment="1" pivotButton="0" quotePrefix="0" xfId="0">
      <alignment vertical="top"/>
    </xf>
    <xf numFmtId="0" fontId="48" fillId="15" borderId="8" pivotButton="0" quotePrefix="0" xfId="0"/>
    <xf numFmtId="1" fontId="48" fillId="15" borderId="8" pivotButton="0" quotePrefix="0" xfId="0"/>
    <xf numFmtId="172" fontId="44" fillId="0" borderId="8" pivotButton="0" quotePrefix="0" xfId="0"/>
    <xf numFmtId="172" fontId="42" fillId="0" borderId="8" pivotButton="0" quotePrefix="0" xfId="0"/>
    <xf numFmtId="0" fontId="55" fillId="0" borderId="8" pivotButton="0" quotePrefix="0" xfId="0"/>
    <xf numFmtId="172" fontId="59" fillId="0" borderId="8" pivotButton="0" quotePrefix="0" xfId="0"/>
    <xf numFmtId="0" fontId="61" fillId="0" borderId="0" applyAlignment="1" pivotButton="0" quotePrefix="0" xfId="0">
      <alignment vertical="top" wrapText="1"/>
    </xf>
    <xf numFmtId="0" fontId="44" fillId="0" borderId="0" applyAlignment="1" pivotButton="0" quotePrefix="0" xfId="0">
      <alignment vertical="top" wrapText="1"/>
    </xf>
  </cellXfs>
  <cellStyles count="3">
    <cellStyle name="Normal" xfId="0" builtinId="0"/>
    <cellStyle name="Pourcentage" xfId="1" builtinId="5"/>
    <cellStyle name="Milliers" xfId="2" builtinId="3"/>
  </cellStyles>
  <dxfs count="2">
    <dxf>
      <fill>
        <patternFill patternType="solid">
          <fgColor rgb="FFF8696B"/>
        </patternFill>
      </fill>
    </dxf>
    <dxf>
      <fill>
        <patternFill patternType="solid">
          <fgColor rgb="FFF869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63"/>
      <rgbColor rgb="FFBFBFBF"/>
      <rgbColor rgb="FF878787"/>
      <rgbColor rgb="FF9999FF"/>
      <rgbColor rgb="FFBE4B48"/>
      <rgbColor rgb="FFFFF6CC"/>
      <rgbColor rgb="FFDCEEEA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FFA"/>
      <rgbColor rgb="FFCCFFCC"/>
      <rgbColor rgb="FFFFFF99"/>
      <rgbColor rgb="FFBBBBBB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CA et résultat net mensuels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'Base graphique'!$A$3</f>
              <strCache>
                <ptCount val="1"/>
                <pt idx="0">
                  <v>Chiffre d'affaires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fr-F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'Base graphique'!$B$2:$AK$2</f>
              <numCache>
                <formatCode>0</formatCode>
                <ptCount val="36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</numCache>
            </numRef>
          </cat>
          <val>
            <numRef>
              <f>'Base graphique'!$B$3:$AK$3</f>
              <numCache>
                <formatCode>#,##0;\(#,##0\)</formatCode>
                <ptCount val="36"/>
                <pt idx="0">
                  <v>1159387.5</v>
                </pt>
                <pt idx="1">
                  <v>1214769.675</v>
                </pt>
                <pt idx="2">
                  <v>1272876.02715</v>
                </pt>
                <pt idx="3">
                  <v>1333841.9811087</v>
                </pt>
                <pt idx="4">
                  <v>1397809.719020707</v>
                </pt>
                <pt idx="5">
                  <v>1464928.51814891</v>
                </pt>
                <pt idx="6">
                  <v>1927048.471834469</v>
                </pt>
                <pt idx="7">
                  <v>2008781.263255638</v>
                </pt>
                <pt idx="8">
                  <v>2094315.830326874</v>
                </pt>
                <pt idx="9">
                  <v>2183836.691113965</v>
                </pt>
                <pt idx="10">
                  <v>2277537.480315433</v>
                </pt>
                <pt idx="11">
                  <v>2375621.402945337</v>
                </pt>
                <pt idx="12">
                  <v>2516418.545339709</v>
                </pt>
                <pt idx="13">
                  <v>2619399.694279394</v>
                </pt>
                <pt idx="14">
                  <v>2727054.349131013</v>
                </pt>
                <pt idx="15">
                  <v>2839606.057333698</v>
                </pt>
                <pt idx="16">
                  <v>2957289.32329174</v>
                </pt>
                <pt idx="17">
                  <v>3080350.151324152</v>
                </pt>
                <pt idx="18">
                  <v>3209046.615650583</v>
                </pt>
                <pt idx="19">
                  <v>3349679.327628513</v>
                </pt>
                <pt idx="20">
                  <v>3496799.296890652</v>
                </pt>
                <pt idx="21">
                  <v>3650715.641949802</v>
                </pt>
                <pt idx="22">
                  <v>3811752.505399854</v>
                </pt>
                <pt idx="23">
                  <v>3980249.792789972</v>
                </pt>
                <pt idx="24">
                  <v>4210580.369856809</v>
                </pt>
                <pt idx="25">
                  <v>4388606.564424198</v>
                </pt>
                <pt idx="26">
                  <v>4574893.859588975</v>
                </pt>
                <pt idx="27">
                  <v>4769841.485565631</v>
                </pt>
                <pt idx="28">
                  <v>4973868.317165213</v>
                </pt>
                <pt idx="29">
                  <v>5187413.848500592</v>
                </pt>
                <pt idx="30">
                  <v>5410939.216244774</v>
                </pt>
                <pt idx="31">
                  <v>5644928.273865433</v>
                </pt>
                <pt idx="32">
                  <v>5889888.719379899</v>
                </pt>
                <pt idx="33">
                  <v>6146353.279301961</v>
                </pt>
                <pt idx="34">
                  <v>6414880.951585245</v>
                </pt>
                <pt idx="35">
                  <v>6696058.310508112</v>
                </pt>
              </numCache>
            </numRef>
          </val>
          <smooth val="0"/>
        </ser>
        <ser>
          <idx val="1"/>
          <order val="1"/>
          <tx>
            <strRef>
              <f>'Base graphique'!$A$4</f>
              <strCache>
                <ptCount val="1"/>
                <pt idx="0">
                  <v>Résultat net</v>
                </pt>
              </strCache>
            </strRef>
          </tx>
          <spPr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fr-F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'Base graphique'!$B$2:$AK$2</f>
              <numCache>
                <formatCode>0</formatCode>
                <ptCount val="36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</numCache>
            </numRef>
          </cat>
          <val>
            <numRef>
              <f>'Base graphique'!$B$4:$AK$4</f>
              <numCache>
                <formatCode>#,##0;\(#,##0\)</formatCode>
                <ptCount val="36"/>
                <pt idx="0">
                  <v>-1958478.140266667</v>
                </pt>
                <pt idx="1">
                  <v>-1850690.771326266</v>
                </pt>
                <pt idx="2">
                  <v>-1795495.581073312</v>
                </pt>
                <pt idx="3">
                  <v>-1737545.75469564</v>
                </pt>
                <pt idx="4">
                  <v>-1676702.096252568</v>
                </pt>
                <pt idx="5">
                  <v>-1612818.408716371</v>
                </pt>
                <pt idx="6">
                  <v>-869670.6848567935</v>
                </pt>
                <pt idx="7">
                  <v>-796308.6714147979</v>
                </pt>
                <pt idx="8">
                  <v>-719493.8619949578</v>
                </pt>
                <pt idx="9">
                  <v>-639056.3028875873</v>
                </pt>
                <pt idx="10">
                  <v>-554817.5840566973</v>
                </pt>
                <pt idx="11">
                  <v>-1502128.145064778</v>
                </pt>
                <pt idx="12">
                  <v>-516658.1020308444</v>
                </pt>
                <pt idx="13">
                  <v>-424022.6427568577</v>
                </pt>
                <pt idx="14">
                  <v>-327122.8555475534</v>
                </pt>
                <pt idx="15">
                  <v>-225751.8876437058</v>
                </pt>
                <pt idx="16">
                  <v>-119692.6763026881</v>
                </pt>
                <pt idx="17">
                  <v>-8717.44132670114</v>
                </pt>
                <pt idx="18">
                  <v>-324587.152289495</v>
                </pt>
                <pt idx="19">
                  <v>-200942.0728241316</v>
                </pt>
                <pt idx="20">
                  <v>-71524.66639800587</v>
                </pt>
                <pt idx="21">
                  <v>63945.16304726497</v>
                </pt>
                <pt idx="22">
                  <v>205761.3014454118</v>
                </pt>
                <pt idx="23">
                  <v>-1557685.956770225</v>
                </pt>
                <pt idx="24">
                  <v>330760.2674370003</v>
                </pt>
                <pt idx="25">
                  <v>489483.330846703</v>
                </pt>
                <pt idx="26">
                  <v>655694.5753776372</v>
                </pt>
                <pt idx="27">
                  <v>829761.4167273163</v>
                </pt>
                <pt idx="28">
                  <v>1012069.506989244</v>
                </pt>
                <pt idx="29">
                  <v>1203023.643541403</v>
                </pt>
                <pt idx="30">
                  <v>1403048.723310975</v>
                </pt>
                <pt idx="31">
                  <v>1612590.744682452</v>
                </pt>
                <pt idx="32">
                  <v>1832117.859429615</v>
                </pt>
                <pt idx="33">
                  <v>2062121.477170897</v>
                </pt>
                <pt idx="34">
                  <v>2303117.424972494</v>
                </pt>
                <pt idx="35">
                  <v>-659765.4949444989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53083458"/>
        <axId val="69839638"/>
      </lineChart>
      <catAx>
        <axId val="5308345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69839638"/>
        <crosses val="autoZero"/>
        <auto val="1"/>
        <lblAlgn val="ctr"/>
        <lblOffset val="100"/>
        <noMultiLvlLbl val="0"/>
      </catAx>
      <valAx>
        <axId val="6983963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5308345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fr-F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Trésorerie de clôture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'Base graphique'!$A$5</f>
              <strCache>
                <ptCount val="1"/>
                <pt idx="0">
                  <v>Trésorerie de clôture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fr-F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'Base graphique'!$B$2:$AK$2</f>
              <numCache>
                <formatCode>0</formatCode>
                <ptCount val="36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</numCache>
            </numRef>
          </cat>
          <val>
            <numRef>
              <f>'Base graphique'!$B$5:$AK$5</f>
              <numCache>
                <formatCode>#,##0;\(#,##0\)</formatCode>
                <ptCount val="36"/>
                <pt idx="0">
                  <v>30917955.73434652</v>
                </pt>
                <pt idx="1">
                  <v>28760482.67809305</v>
                </pt>
                <pt idx="2">
                  <v>26655291.44495557</v>
                </pt>
                <pt idx="3">
                  <v>24605114.82080528</v>
                </pt>
                <pt idx="4">
                  <v>22612824.62357716</v>
                </pt>
                <pt idx="5">
                  <v>20681438.70312791</v>
                </pt>
                <pt idx="6">
                  <v>19490198.75020025</v>
                </pt>
                <pt idx="7">
                  <v>18369296.54120405</v>
                </pt>
                <pt idx="8">
                  <v>17322162.19009583</v>
                </pt>
                <pt idx="9">
                  <v>16352395.59442663</v>
                </pt>
                <pt idx="10">
                  <v>15463774.89039245</v>
                </pt>
                <pt idx="11">
                  <v>13624727.60195037</v>
                </pt>
                <pt idx="12">
                  <v>12768010.96296689</v>
                </pt>
                <pt idx="13">
                  <v>12000766.84423025</v>
                </pt>
                <pt idx="14">
                  <v>11327235.85163307</v>
                </pt>
                <pt idx="15">
                  <v>10751865.26591186</v>
                </pt>
                <pt idx="16">
                  <v>10279319.25129609</v>
                </pt>
                <pt idx="17">
                  <v>9914489.571618959</v>
                </pt>
                <pt idx="18">
                  <v>9230506.839191405</v>
                </pt>
                <pt idx="19">
                  <v>8666861.219378179</v>
                </pt>
                <pt idx="20">
                  <v>8229300.229388661</v>
                </pt>
                <pt idx="21">
                  <v>7923851.296417477</v>
                </pt>
                <pt idx="22">
                  <v>7756835.546124301</v>
                </pt>
                <pt idx="23">
                  <v>5822964.209727449</v>
                </pt>
                <pt idx="24">
                  <v>5774105.207190624</v>
                </pt>
                <pt idx="25">
                  <v>5880509.623538696</v>
                </pt>
                <pt idx="26">
                  <v>6149639.692558964</v>
                </pt>
                <pt idx="27">
                  <v>6589324.86913123</v>
                </pt>
                <pt idx="28">
                  <v>7207780.064164261</v>
                </pt>
                <pt idx="29">
                  <v>8013624.78840978</v>
                </pt>
                <pt idx="30">
                  <v>9015903.250530152</v>
                </pt>
                <pt idx="31">
                  <v>10224105.45706307</v>
                </pt>
                <pt idx="32">
                  <v>11648189.36430703</v>
                </pt>
                <pt idx="33">
                  <v>13298604.13465088</v>
                </pt>
                <pt idx="34">
                  <v>15186314.55249513</v>
                </pt>
                <pt idx="35">
                  <v>14107413.99786891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58520465"/>
        <axId val="76031319"/>
      </lineChart>
      <catAx>
        <axId val="5852046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76031319"/>
        <crosses val="autoZero"/>
        <auto val="1"/>
        <lblAlgn val="ctr"/>
        <lblOffset val="100"/>
        <noMultiLvlLbl val="0"/>
      </catAx>
      <valAx>
        <axId val="760313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5852046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fr-FR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MRR (abonnements + vidéo)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'Base graphique'!$A$6</f>
              <strCache>
                <ptCount val="1"/>
                <pt idx="0">
                  <v>MRR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fr-F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'Base graphique'!$B$2:$AK$2</f>
              <numCache>
                <formatCode>0</formatCode>
                <ptCount val="36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</numCache>
            </numRef>
          </cat>
          <val>
            <numRef>
              <f>'Base graphique'!$B$6:$AK$6</f>
              <numCache>
                <formatCode>#,##0;\(#,##0\)</formatCode>
                <ptCount val="36"/>
                <pt idx="0">
                  <v>1080000</v>
                </pt>
                <pt idx="1">
                  <v>1134000</v>
                </pt>
                <pt idx="2">
                  <v>1190700</v>
                </pt>
                <pt idx="3">
                  <v>1250235</v>
                </pt>
                <pt idx="4">
                  <v>1312746.75</v>
                </pt>
                <pt idx="5">
                  <v>1378384.0875</v>
                </pt>
                <pt idx="6">
                  <v>1447303.291875</v>
                </pt>
                <pt idx="7">
                  <v>1519668.45646875</v>
                </pt>
                <pt idx="8">
                  <v>1595651.879292188</v>
                </pt>
                <pt idx="9">
                  <v>1675434.473256797</v>
                </pt>
                <pt idx="10">
                  <v>1759206.196919637</v>
                </pt>
                <pt idx="11">
                  <v>1847166.506765619</v>
                </pt>
                <pt idx="12">
                  <v>1934599.054752525</v>
                </pt>
                <pt idx="13">
                  <v>2026275.159927641</v>
                </pt>
                <pt idx="14">
                  <v>2122403.670324887</v>
                </pt>
                <pt idx="15">
                  <v>2223203.789804418</v>
                </pt>
                <pt idx="16">
                  <v>2328905.593592971</v>
                </pt>
                <pt idx="17">
                  <v>2439750.569542708</v>
                </pt>
                <pt idx="18">
                  <v>2555992.186392954</v>
                </pt>
                <pt idx="19">
                  <v>2677896.490383413</v>
                </pt>
                <pt idx="20">
                  <v>2805742.731634837</v>
                </pt>
                <pt idx="21">
                  <v>2939824.02178387</v>
                </pt>
                <pt idx="22">
                  <v>3080448.024433104</v>
                </pt>
                <pt idx="23">
                  <v>3227937.680055362</v>
                </pt>
                <pt idx="24">
                  <v>3378722.118831908</v>
                </pt>
                <pt idx="25">
                  <v>3536918.430204567</v>
                </pt>
                <pt idx="26">
                  <v>3702895.679611032</v>
                </pt>
                <pt idx="27">
                  <v>3877041.367422575</v>
                </pt>
                <pt idx="28">
                  <v>4059762.350470666</v>
                </pt>
                <pt idx="29">
                  <v>4251485.809647286</v>
                </pt>
                <pt idx="30">
                  <v>4452660.265882573</v>
                </pt>
                <pt idx="31">
                  <v>4663756.64691866</v>
                </pt>
                <pt idx="32">
                  <v>4885269.407419455</v>
                </pt>
                <pt idx="33">
                  <v>5117717.705083149</v>
                </pt>
                <pt idx="34">
                  <v>5361646.63555754</v>
                </pt>
                <pt idx="35">
                  <v>5617628.529098293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52421904"/>
        <axId val="31204573"/>
      </lineChart>
      <catAx>
        <axId val="5242190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31204573"/>
        <crosses val="autoZero"/>
        <auto val="1"/>
        <lblAlgn val="ctr"/>
        <lblOffset val="100"/>
        <noMultiLvlLbl val="0"/>
      </catAx>
      <valAx>
        <axId val="3120457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524219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fr-FR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GMV mensuel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'Base graphique'!$A$7</f>
              <strCache>
                <ptCount val="1"/>
                <pt idx="0">
                  <v>GMV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fr-F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'Base graphique'!$B$2:$AK$2</f>
              <numCache>
                <formatCode>0</formatCode>
                <ptCount val="36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</numCache>
            </numRef>
          </cat>
          <val>
            <numRef>
              <f>'Base graphique'!$B$7:$AK$7</f>
              <numCache>
                <formatCode>#,##0;\(#,##0\)</formatCode>
                <ptCount val="36"/>
                <pt idx="0">
                  <v>2970000</v>
                </pt>
                <pt idx="1">
                  <v>3028350</v>
                </pt>
                <pt idx="2">
                  <v>3087849.9</v>
                </pt>
                <pt idx="3">
                  <v>3148522.4172</v>
                </pt>
                <pt idx="4">
                  <v>3210390.718494601</v>
                </pt>
                <pt idx="5">
                  <v>3273478.429389278</v>
                </pt>
                <pt idx="6">
                  <v>3337809.643093687</v>
                </pt>
                <pt idx="7">
                  <v>3403408.929795491</v>
                </pt>
                <pt idx="8">
                  <v>3470301.346118323</v>
                </pt>
                <pt idx="9">
                  <v>3538512.444767541</v>
                </pt>
                <pt idx="10">
                  <v>3608068.284367481</v>
                </pt>
                <pt idx="11">
                  <v>3678995.43949406</v>
                </pt>
                <pt idx="12">
                  <v>4050968.705232224</v>
                </pt>
                <pt idx="13">
                  <v>4130150.108130727</v>
                </pt>
                <pt idx="14">
                  <v>4210889.471323656</v>
                </pt>
                <pt idx="15">
                  <v>4293217.580985773</v>
                </pt>
                <pt idx="16">
                  <v>4377165.833368641</v>
                </pt>
                <pt idx="17">
                  <v>4462766.246913329</v>
                </pt>
                <pt idx="18">
                  <v>4550051.474603932</v>
                </pt>
                <pt idx="19">
                  <v>4681890.713620048</v>
                </pt>
                <pt idx="20">
                  <v>4817607.406067449</v>
                </pt>
                <pt idx="21">
                  <v>4957316.398462289</v>
                </pt>
                <pt idx="22">
                  <v>5101135.951381118</v>
                </pt>
                <pt idx="23">
                  <v>5249187.841166421</v>
                </pt>
                <pt idx="24">
                  <v>5805950.393168743</v>
                </pt>
                <pt idx="25">
                  <v>5946129.132339002</v>
                </pt>
                <pt idx="26">
                  <v>6089741.762231749</v>
                </pt>
                <pt idx="27">
                  <v>6236873.006786477</v>
                </pt>
                <pt idx="28">
                  <v>6387609.688456857</v>
                </pt>
                <pt idx="29">
                  <v>6542040.780310736</v>
                </pt>
                <pt idx="30">
                  <v>6700257.459425652</v>
                </pt>
                <pt idx="31">
                  <v>6862353.161612141</v>
                </pt>
                <pt idx="32">
                  <v>7028423.637497886</v>
                </pt>
                <pt idx="33">
                  <v>7198567.010006565</v>
                </pt>
                <pt idx="34">
                  <v>7372883.833266155</v>
                </pt>
                <pt idx="35">
                  <v>7551477.152982259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55949997"/>
        <axId val="51339929"/>
      </lineChart>
      <catAx>
        <axId val="5594999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51339929"/>
        <crosses val="autoZero"/>
        <auto val="1"/>
        <lblAlgn val="ctr"/>
        <lblOffset val="100"/>
        <noMultiLvlLbl val="0"/>
      </catAx>
      <valAx>
        <axId val="5133992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fr-FR"/>
          </a:p>
        </txPr>
        <crossAx val="5594999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fr-FR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3</row>
      <rowOff>0</rowOff>
    </from>
    <to>
      <col>14</col>
      <colOff>155880</colOff>
      <row>18</row>
      <rowOff>47160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38100</colOff>
      <row>19</row>
      <rowOff>76120</rowOff>
    </from>
    <to>
      <col>14</col>
      <colOff>193980</colOff>
      <row>34</row>
      <rowOff>4120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5</col>
      <colOff>0</colOff>
      <row>35</row>
      <rowOff>0</rowOff>
    </from>
    <to>
      <col>14</col>
      <colOff>155880</colOff>
      <row>49</row>
      <rowOff>29520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14</col>
      <colOff>304940</colOff>
      <row>3</row>
      <rowOff>0</rowOff>
    </from>
    <to>
      <col>23</col>
      <colOff>460820</colOff>
      <row>18</row>
      <rowOff>47160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topLeftCell="A45" zoomScale="110" zoomScaleNormal="110" workbookViewId="0">
      <selection activeCell="A65" sqref="A65"/>
    </sheetView>
  </sheetViews>
  <sheetFormatPr baseColWidth="10" defaultColWidth="8.83203125" defaultRowHeight="15"/>
  <cols>
    <col width="120" customWidth="1" style="143" min="1" max="1"/>
  </cols>
  <sheetData>
    <row r="1" ht="22" customHeight="1" s="143">
      <c r="A1" s="6" t="inlineStr">
        <is>
          <t>TAIRO — MODÈLE FINANCIER 3 ÉTATS (P&amp;L, trésorerie, bilan)</t>
        </is>
      </c>
      <c r="B1" s="6" t="n"/>
      <c r="C1" s="6" t="n"/>
      <c r="D1" s="6" t="n"/>
      <c r="E1" s="6" t="n"/>
      <c r="F1" s="6" t="n"/>
      <c r="G1" s="6" t="n"/>
      <c r="H1" s="6" t="n"/>
    </row>
    <row r="3" ht="15" customHeight="1" s="143">
      <c r="A3" s="7" t="inlineStr">
        <is>
          <t>OBJET</t>
        </is>
      </c>
      <c r="B3" s="8" t="n"/>
      <c r="C3" s="8" t="n"/>
      <c r="D3" s="8" t="n"/>
      <c r="E3" s="8" t="n"/>
      <c r="F3" s="8" t="n"/>
      <c r="G3" s="8" t="n"/>
      <c r="H3" s="8" t="n"/>
    </row>
    <row r="4" ht="15" customHeight="1" s="143">
      <c r="A4" s="9" t="inlineStr">
        <is>
          <t>Modélisation financière 3 ans (M1–M36) de la startup Tairo — marketplace de services (Ampio),</t>
        </is>
      </c>
    </row>
    <row r="5" ht="15" customHeight="1" s="143">
      <c r="A5" s="9" t="inlineStr">
        <is>
          <t>location de matériel (Ampindramo) et formation vidéo (Ampianaro) à Madagascar. Devise : Ariary (MGA), hors taxes.</t>
        </is>
      </c>
    </row>
    <row r="7" ht="15" customHeight="1" s="143">
      <c r="A7" s="7" t="inlineStr">
        <is>
          <t>MODÈLE ÉCONOMIQUE</t>
        </is>
      </c>
      <c r="B7" s="8" t="n"/>
      <c r="C7" s="8" t="n"/>
      <c r="D7" s="8" t="n"/>
      <c r="E7" s="8" t="n"/>
      <c r="F7" s="8" t="n"/>
      <c r="G7" s="8" t="n"/>
      <c r="H7" s="8" t="n"/>
    </row>
    <row r="8" ht="15" customHeight="1" s="143">
      <c r="A8" s="9" t="inlineStr">
        <is>
          <t>1. Abonnement prestataire Ampio+ : 24 000 Ar/mois (indexé), souscrit par une part paramétrable des prestataires actifs (10 % par défaut).</t>
        </is>
      </c>
    </row>
    <row r="9" ht="15" customHeight="1" s="143">
      <c r="A9" s="9" t="inlineStr">
        <is>
          <t>2. Commissions sur prestations, prélevées sur le prestataire : 10 % (Plomberie, Mécanique, Électricité, Jardinage,</t>
        </is>
      </c>
    </row>
    <row r="10" ht="15" customHeight="1" s="143">
      <c r="A10" s="9" t="inlineStr">
        <is>
          <t xml:space="preserve">   Agriculture, Ménage, Irakiraka, Bricolage, BTP, Couture), 15 % (Cuisine), 20 % (Déménagement),</t>
        </is>
      </c>
    </row>
    <row r="11" ht="15" customHeight="1" s="143">
      <c r="A11" s="9" t="inlineStr">
        <is>
          <t xml:space="preserve">   25 % (Informatique, Transport, Evénementiel, Animaux, Arts, Musiques) — mix paramétrable dans Parametres.</t>
        </is>
      </c>
    </row>
    <row r="12" ht="15" customHeight="1" s="143">
      <c r="A12" s="9" t="inlineStr">
        <is>
          <t>3. Location entre particuliers : 13 % sur le loueur (caution non commissionnée).</t>
        </is>
      </c>
    </row>
    <row r="13" ht="15" customHeight="1" s="143">
      <c r="A13" s="9" t="inlineStr">
        <is>
          <t>4. Location professionnelle : paliers sur le total — 30 % (≤ 25 000 Ar), 20 % (25 001–45 000 Ar), 15 % (&gt; 45 000 Ar).</t>
        </is>
      </c>
    </row>
    <row r="14" ht="15" customHeight="1" s="143">
      <c r="A14" s="9" t="inlineStr">
        <is>
          <t>5. Mise en ligne de vidéos Ampianaro B2B : 64 000 Ar/mois par client professionnel.</t>
        </is>
      </c>
    </row>
    <row r="15" ht="15" customHeight="1" s="143">
      <c r="A15" s="9" t="inlineStr">
        <is>
          <t>6. Coûts variables : commission Mobile Money 3 % du montant de chaque transaction (abonnement Ampio+, GMV prestations, GMV locations). Exclu : service vidéo. SMS (2 × 35,71 Ar) : prestations Ampio et locations C2C. Support 1 000 Ar/transaction, vérification 3 000 Ar/nouveau client, litiges 1 % du GMV.</t>
        </is>
      </c>
    </row>
    <row r="16" ht="15" customHeight="1" s="143">
      <c r="A16" s="7" t="inlineStr">
        <is>
          <t>NORMES IFRS APPLIQUÉES</t>
        </is>
      </c>
      <c r="B16" s="8" t="n"/>
      <c r="C16" s="8" t="n"/>
      <c r="D16" s="8" t="n"/>
      <c r="E16" s="8" t="n"/>
      <c r="F16" s="8" t="n"/>
      <c r="G16" s="8" t="n"/>
      <c r="H16" s="8" t="n"/>
    </row>
    <row r="17" ht="15" customHeight="1" s="143">
      <c r="A17" s="9" t="inlineStr">
        <is>
          <t>— IFRS 15 : Tairo agit comme AGENT sur les transactions ; le chiffre d'affaires = commissions + abonnements.</t>
        </is>
      </c>
    </row>
    <row r="18" ht="15" customHeight="1" s="143">
      <c r="A18" s="9" t="inlineStr">
        <is>
          <t xml:space="preserve">   Le GMV (volume brut des transactions) est suivi comme KPI mais n'est PAS du chiffre d'affaires.</t>
        </is>
      </c>
    </row>
    <row r="19" ht="15" customHeight="1" s="143">
      <c r="A19" s="9" t="inlineStr">
        <is>
          <t>— IAS 16 / IAS 38 : immobilisations corporelles (ordinateurs) et incorporelles (design UI/UX), amortissement linéaire 5 ans.</t>
        </is>
      </c>
    </row>
    <row r="20" ht="15" customHeight="1" s="143">
      <c r="A20" s="9" t="inlineStr">
        <is>
          <t>— IAS 7 : tableau des flux de trésorerie en méthode directe ; intérêts payés en flux opérationnels.</t>
        </is>
      </c>
    </row>
    <row r="22" ht="15" customHeight="1" s="143">
      <c r="A22" s="9" t="inlineStr">
        <is>
          <t>FISCALITÉ (Madagascar, Loi de finances 2026)</t>
        </is>
      </c>
    </row>
    <row r="23" ht="15" customHeight="1" s="143">
      <c r="A23" s="9" t="inlineStr">
        <is>
          <t>— CA annuel &lt; 200 000 000 Ar : Impôt Synthétique = 5 % du chiffre d'affaires.</t>
        </is>
      </c>
    </row>
    <row r="24" ht="15" customHeight="1" s="143">
      <c r="A24" s="9" t="inlineStr">
        <is>
          <t>— CA annuel ≥ 200 000 000 Ar : régime réel, IR = 20 % du bénéfice (minimum de perception 1 000 000 Ar + 1 % du CA — Code des impôts ; inactif tant que le CA reste sous le seuil). Entre 200 et 400 M, option réel / TVA (LF 2026) non modélisée. Taux IS réduit 3 % (nouveaux CGA / immatriculés) : note, non chiffré.</t>
        </is>
      </c>
    </row>
    <row r="25" ht="15" customHeight="1" s="143">
      <c r="A25" s="9" t="inlineStr">
        <is>
          <t>— Le classeur bascule automatiquement entre les deux régimes selon le CA annuel calculé.</t>
        </is>
      </c>
    </row>
    <row r="27" ht="15" customHeight="1" s="143">
      <c r="A27" s="7" t="inlineStr">
        <is>
          <t>SOURCES</t>
        </is>
      </c>
      <c r="B27" s="8" t="n"/>
      <c r="C27" s="8" t="n"/>
      <c r="D27" s="8" t="n"/>
      <c r="E27" s="8" t="n"/>
      <c r="F27" s="8" t="n"/>
      <c r="G27" s="8" t="n"/>
      <c r="H27" s="8" t="n"/>
    </row>
    <row r="28" ht="15" customHeight="1" s="143">
      <c r="A28" s="9" t="inlineStr">
        <is>
          <t>— Taux de commission, prix d'abonnement et paliers : code de l'application Tairo (app/lib/economy.ts).</t>
        </is>
      </c>
    </row>
    <row r="29" ht="15" customHeight="1" s="143">
      <c r="A29" s="9" t="inlineStr">
        <is>
          <t>— Fiscalité : Code général des impôts malgache / Loi de finances 2026.</t>
        </is>
      </c>
    </row>
    <row r="31" ht="15" customHeight="1" s="143">
      <c r="A31" s="7" t="inlineStr">
        <is>
          <t>MODE D'EMPLOI</t>
        </is>
      </c>
      <c r="B31" s="8" t="n"/>
      <c r="C31" s="8" t="n"/>
      <c r="D31" s="8" t="n"/>
      <c r="E31" s="8" t="n"/>
      <c r="F31" s="8" t="n"/>
      <c r="G31" s="8" t="n"/>
      <c r="H31" s="8" t="n"/>
    </row>
    <row r="32" ht="15" customHeight="1" s="143">
      <c r="A32" s="9" t="inlineStr">
        <is>
          <t>1. Choisir le scénario dans Parametres!B2 (1 = Prudent, 2 = Base, 3 = Optimiste) — tout se recalcule.</t>
        </is>
      </c>
    </row>
    <row r="33" ht="15" customHeight="1" s="143">
      <c r="A33" s="9" t="inlineStr">
        <is>
          <t>2. Cellules à texte BLEU sur fond JAUNE : hypothèses modifiables ; texte NOIR : calculs ; texte VERT : références vers un autre onglet.</t>
        </is>
      </c>
    </row>
    <row r="34" ht="15" customHeight="1" s="143">
      <c r="A34" s="9" t="inlineStr">
        <is>
          <t>3. Le Dashboard, le P&amp;L, la trésorerie et les KPI se mettent à jour automatiquement (aucune saisie manuelle).</t>
        </is>
      </c>
    </row>
    <row r="35">
      <c r="A35" s="196" t="inlineStr">
        <is>
          <t>4. Acquisition, offre / capacité, lancement, collab 2 et financement se règlent dans Parametres (sections 9, 10, 11, 14, 16) ; le stress test dans la section 18 (interrupteur unique).</t>
        </is>
      </c>
    </row>
    <row r="36">
      <c r="A36" t="inlineStr">
        <is>
          <t>CHANGEMENTS DE CETTE VERSION (refonte offre / acquisition / coûts)</t>
        </is>
      </c>
    </row>
    <row r="37" ht="16" customHeight="1" s="143">
      <c r="A37" s="7" t="inlineStr">
        <is>
          <t>— Offre modélisée par onboarding et churn (prestataires, loueurs pro, annonces C2C) ; la capacité (actifs × max × fill rate max) PLAFONNE les volumes réalisés. Les anciens KPI de liquidité tautologiques (offre proportionnelle au volume, fill rate saisi) sont supprimés.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5" t="inlineStr">
        <is>
          <t>— Ampio+ fusionné avec l'offre : abonnés = pénétration (10 %) × prestataires actifs. Plus de stock d'abonnés ni de churn Ampio+ autonomes.</t>
        </is>
      </c>
    </row>
    <row r="39" ht="16" customHeight="1" s="143">
      <c r="A39" s="10" t="inlineStr">
        <is>
          <t>— Acquisition → croissance : budget publicité saisi par année (400 k / 500 k / 600 k Ar/mois) ; la croissance mensuelle = taux de base × (budget du mois précédent / budget de référence)^élasticité (0,5), borné 0,5–1,5. Le cold-start (plancher pub, règle 6 % du CA) est retiré ; la subvention d'offre (take rate −2 points M1–M6) est conservée et son bug corrigé (saisie 2 → 0,02).</t>
        </is>
      </c>
    </row>
    <row r="40" ht="28" customHeight="1" s="143">
      <c r="A40" s="9" t="inlineStr">
        <is>
          <t>— Ralentissement après A1 : vidéo 5 % → 4 % → 3 % ; prestations 2 % → 2,5 % → 2 % (l'accélération à 3 % est retirée).</t>
        </is>
      </c>
    </row>
    <row r="41" ht="28" customHeight="1" s="143">
      <c r="A41" s="9" t="inlineStr">
        <is>
          <t>— Indexation annuelle des prix (abonnement, vidéo) : 8 %, alignée sur l'inflation des coûts (nouveau paramètre, section 6).</t>
        </is>
      </c>
    </row>
    <row r="42" ht="28" customHeight="1" s="143">
      <c r="A42" s="9" t="inlineStr">
        <is>
          <t>— Charges patronales 18 % (CNaPS 13 % + organisation sanitaire 5 %) sur tous les salaires, incluses dans les OPEX et le besoin de financement.</t>
        </is>
      </c>
    </row>
    <row r="43" ht="28" customHeight="1" s="143">
      <c r="A43" s="9" t="inlineStr">
        <is>
          <t>— Unit economics : LTV bornée à 36 mois ; commissions partagées 50/50 entre offre et demande ; CAC offre sur les prestataires et loueurs réellement onboardés.</t>
        </is>
      </c>
    </row>
    <row r="44" ht="28" customHeight="1" s="143">
      <c r="A44" s="9" t="inlineStr">
        <is>
          <t>— Financement : bloc ASK (financement externe recherché = besoin − apport, ventilation indicative equity / dette) ; sécurité rétablie à 3 mois de charges fixes ; libellé de couverture dynamique.</t>
        </is>
      </c>
    </row>
    <row r="45" ht="28" customHeight="1" s="143">
      <c r="A45" s="145" t="inlineStr">
        <is>
          <t>— Corrections techniques : le choc OPEX du stress test pointait vers des cellules déplacées (désactivé silencieusement) ; idem pour le choc CAPEX dans Financement. Toutes les formules sont régénérées à partir de paramètres nommés.</t>
        </is>
      </c>
    </row>
    <row r="46">
      <c r="A46" s="5" t="inlineStr">
        <is>
          <t>— Plancher IR 1 M + 1 % CA ; impôt comptabilisé et payé au mois 12 de chaque exercice (inchangé).</t>
        </is>
      </c>
    </row>
    <row r="47" ht="16" customHeight="1" s="143">
      <c r="A47" s="7" t="inlineStr">
        <is>
          <t>RULE OF 40</t>
        </is>
      </c>
      <c r="B47" s="8" t="n"/>
      <c r="C47" s="8" t="n"/>
      <c r="D47" s="8" t="n"/>
      <c r="E47" s="8" t="n"/>
      <c r="F47" s="8" t="n"/>
      <c r="G47" s="8" t="n"/>
      <c r="H47" s="8" t="n"/>
    </row>
    <row r="48" ht="28" customHeight="1" s="143">
      <c r="A48" s="9" t="inlineStr">
        <is>
          <t>— Définition : croissance YoY du CA IFRS 15 + marge EBITDA, par année civile du modèle. Cible 40 %. Pas de GMV dans le score.</t>
        </is>
      </c>
    </row>
    <row r="49">
      <c r="A49" s="5" t="n"/>
    </row>
    <row r="50" ht="16" customHeight="1" s="143">
      <c r="A50" s="7" t="inlineStr">
        <is>
          <t>BILAN SIMPLIFIÉ</t>
        </is>
      </c>
      <c r="B50" s="8" t="n"/>
      <c r="C50" s="8" t="n"/>
      <c r="D50" s="8" t="n"/>
      <c r="E50" s="8" t="n"/>
      <c r="F50" s="8" t="n"/>
      <c r="G50" s="8" t="n"/>
      <c r="H50" s="8" t="n"/>
    </row>
    <row r="51" ht="28" customHeight="1" s="143">
      <c r="A51" s="9" t="inlineStr">
        <is>
          <t>— Actif = VNC + trésorerie. Passif = emprunt restant + apport + RN cumulé. Contrôle coloré si |écart| &gt; 1 Ar.</t>
        </is>
      </c>
    </row>
    <row r="52">
      <c r="A52" s="5" t="n"/>
    </row>
    <row r="53" ht="16" customHeight="1" s="143">
      <c r="A53" s="10" t="inlineStr">
        <is>
          <t>CONVENTION DE COULEUR (saisie)</t>
        </is>
      </c>
    </row>
    <row r="54" ht="28" customHeight="1" s="143">
      <c r="A54" s="9" t="inlineStr">
        <is>
          <t>— Texte bleu + fond jaune : hypothèse. Texte noir : calcul. Texte vert : lien vers un autre onglet.</t>
        </is>
      </c>
    </row>
    <row r="55">
      <c r="A55" s="5" t="n"/>
    </row>
    <row r="56">
      <c r="A56" s="224" t="inlineStr">
        <is>
          <t>LECTURE DES RÉSULTATS BASE (valeurs recalculées du classeur, stress off)</t>
        </is>
      </c>
    </row>
    <row r="57" ht="48" customHeight="1" s="143">
      <c r="A57" s="196" t="inlineStr">
        <is>
          <t>— CA A1 / A2 / A3 : 21,7 / 38,1 / 63,5 M Ar ; EBITDA : -16,0 / -4,2 / 8,9 M Ar ; résultat net : -21,6 / -10,0 / 2,6 M Ar.</t>
        </is>
      </c>
    </row>
    <row r="58">
      <c r="A58" s="196" t="inlineStr">
        <is>
          <t>— Premier mois EBITDA &gt; 0 : M22 ; embauche du collab 2 : M25 ; prestataires actifs fin A3 : 122 (utilisation de la capacité 17% — offre excédentaire, aucune demande non servie).</t>
        </is>
      </c>
    </row>
    <row r="59">
      <c r="A59" s="196" t="inlineStr">
        <is>
          <t>— Financement : besoin initial 52,0 M Ar = CAPEX 4,9 + 12 mois de charges 38,7 + sécurité 3 mois 8,4 ; apport 9 M ; ASK 43,0 M Ar (modélisé en emprunt 9 % / 60 mois, mensualité 893 k).</t>
        </is>
      </c>
    </row>
    <row r="60">
      <c r="A60" s="196" t="inlineStr">
        <is>
          <t>— Trésorerie minimale / fin M36 : -2,4 / -2,4 M Ar → couverture du matelas de sécurité : INSUFFISANT (cible 8,4 M). Capital restant dû fin M36 : 19,5 M Ar.</t>
        </is>
      </c>
    </row>
    <row r="61">
      <c r="A61" s="196" t="inlineStr">
        <is>
          <t>— Lecture : avec l'ensemble du financement externe porté en dette, le service de l'emprunt (≈ 32 M Ar sur 36 mois) consomme la trésorerie levée. Convertir la part « equity » de l'Ask en fonds propres, allonger la durée ou réduire le budget publicité rétablit le matelas — voir leviers ci-dessous.</t>
        </is>
      </c>
    </row>
    <row r="62"/>
    <row r="63">
      <c r="A63" s="225" t="inlineStr">
        <is>
          <t>PLANCHER DE CAISSE : lire Financement, bloc « Validation 3 ans » — pic de besoin cumulé avant financement, trésorerie minimale après service de la dette, couverture OK / INSUFFISANT et financement externe minimum indicatif. Leviers : apport (Parametres!B139), mois financés / sécurité (B140, B141), durée de l'emprunt (B144), budget publicité (section 9), salaires (section 13).</t>
        </is>
      </c>
    </row>
    <row r="74"/>
    <row r="88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zoomScaleNormal="100" workbookViewId="0">
      <pane ySplit="2" topLeftCell="A3" activePane="bottomLeft" state="frozen"/>
      <selection pane="bottomLeft" activeCell="A7" sqref="A7"/>
    </sheetView>
  </sheetViews>
  <sheetFormatPr baseColWidth="10" defaultColWidth="8.83203125" defaultRowHeight="15"/>
  <cols>
    <col width="58" customWidth="1" style="143" min="1" max="1"/>
    <col width="20" customWidth="1" style="143" min="2" max="2"/>
  </cols>
  <sheetData>
    <row r="1" ht="22" customHeight="1" s="143">
      <c r="A1" s="6" t="inlineStr">
        <is>
          <t>DASHBOARD — Tairo, modèle 3 états (MGA)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 ht="15.75" customHeight="1" s="143">
      <c r="A2" s="147" t="inlineStr">
        <is>
          <t>Scénario actif :</t>
        </is>
      </c>
      <c r="B2" s="148">
        <f>Parametres!B3</f>
        <v/>
      </c>
    </row>
    <row r="3">
      <c r="A3" s="149" t="n"/>
      <c r="B3" s="149" t="n"/>
    </row>
    <row r="4" ht="15" customHeight="1" s="143">
      <c r="A4" s="150" t="inlineStr">
        <is>
          <t>ACTIVITÉ</t>
        </is>
      </c>
      <c r="B4" s="150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15" customHeight="1" s="143">
      <c r="A5" s="149" t="inlineStr">
        <is>
          <t>Chiffre d'affaires Année 1</t>
        </is>
      </c>
      <c r="B5" s="151">
        <f>'P&amp;L'!B30</f>
        <v/>
      </c>
    </row>
    <row r="6" ht="15" customHeight="1" s="143">
      <c r="A6" s="149" t="inlineStr">
        <is>
          <t>Chiffre d'affaires Année 2</t>
        </is>
      </c>
      <c r="B6" s="151">
        <f>'P&amp;L'!C30</f>
        <v/>
      </c>
    </row>
    <row r="7" ht="15" customHeight="1" s="143">
      <c r="A7" s="149" t="inlineStr">
        <is>
          <t>Chiffre d'affaires Année 3</t>
        </is>
      </c>
      <c r="B7" s="151">
        <f>'P&amp;L'!D30</f>
        <v/>
      </c>
    </row>
    <row r="8" ht="15" customHeight="1" s="143">
      <c r="A8" s="149" t="inlineStr">
        <is>
          <t>Croissance CA A2 / A1</t>
        </is>
      </c>
      <c r="B8" s="152">
        <f>KPI!C58</f>
        <v/>
      </c>
    </row>
    <row r="9" ht="15" customHeight="1" s="143">
      <c r="A9" s="149" t="inlineStr">
        <is>
          <t>Croissance CA A3 / A2</t>
        </is>
      </c>
      <c r="B9" s="152">
        <f>KPI!D58</f>
        <v/>
      </c>
    </row>
    <row r="10" ht="15" customHeight="1" s="143">
      <c r="A10" s="149" t="inlineStr">
        <is>
          <t>GMV Année 3</t>
        </is>
      </c>
      <c r="B10" s="151">
        <f>KPI!D51</f>
        <v/>
      </c>
    </row>
    <row r="11" ht="15" customHeight="1" s="143">
      <c r="A11" s="149" t="inlineStr">
        <is>
          <t>Take rate moyen Année 3</t>
        </is>
      </c>
      <c r="B11" s="152">
        <f>KPI!D53</f>
        <v/>
      </c>
    </row>
    <row r="12" ht="15" customHeight="1" s="143">
      <c r="A12" s="149" t="inlineStr">
        <is>
          <t>MRR fin Année 3</t>
        </is>
      </c>
      <c r="B12" s="151">
        <f>KPI!D54</f>
        <v/>
      </c>
    </row>
    <row r="13" ht="15" customHeight="1" s="143">
      <c r="A13" s="149" t="inlineStr">
        <is>
          <t>ARR fin Année 3</t>
        </is>
      </c>
      <c r="B13" s="151">
        <f>KPI!D54*12</f>
        <v/>
      </c>
    </row>
    <row r="14">
      <c r="A14" s="149" t="n"/>
      <c r="B14" s="149" t="n"/>
    </row>
    <row r="15" ht="15" customHeight="1" s="143">
      <c r="A15" s="150" t="inlineStr">
        <is>
          <t>RENTABILITÉ</t>
        </is>
      </c>
      <c r="B15" s="150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15" customHeight="1" s="143">
      <c r="A16" s="149" t="inlineStr">
        <is>
          <t>Marge de contribution Année 3</t>
        </is>
      </c>
      <c r="B16" s="152">
        <f>IFERROR(SUM(Contribution!Z12:AK12)/SUM(Contribution!Z5:AK5),0)</f>
        <v/>
      </c>
    </row>
    <row r="17" ht="15" customHeight="1" s="143">
      <c r="A17" s="149" t="inlineStr">
        <is>
          <t>EBITDA Année 3</t>
        </is>
      </c>
      <c r="B17" s="151">
        <f>'P&amp;L'!D31</f>
        <v/>
      </c>
    </row>
    <row r="18" ht="15" customHeight="1" s="143">
      <c r="A18" s="149" t="inlineStr">
        <is>
          <t>Résultat net Année 1</t>
        </is>
      </c>
      <c r="B18" s="151">
        <f>'P&amp;L'!B35</f>
        <v/>
      </c>
    </row>
    <row r="19" ht="15" customHeight="1" s="143">
      <c r="A19" s="149" t="inlineStr">
        <is>
          <t>Résultat net Année 2</t>
        </is>
      </c>
      <c r="B19" s="151">
        <f>'P&amp;L'!C35</f>
        <v/>
      </c>
    </row>
    <row r="20" ht="15" customHeight="1" s="143">
      <c r="A20" s="149" t="inlineStr">
        <is>
          <t>Résultat net Année 3</t>
        </is>
      </c>
      <c r="B20" s="151">
        <f>'P&amp;L'!D35</f>
        <v/>
      </c>
    </row>
    <row r="21" ht="15" customHeight="1" s="143">
      <c r="A21" s="149" t="inlineStr">
        <is>
          <t>Seuil de rentabilité mensuel (CA, moyenne 36 mois)</t>
        </is>
      </c>
      <c r="B21" s="151">
        <f>-AVERAGE('P&amp;L'!B17:AK17)/AVERAGE('P&amp;L'!B9:AK9)</f>
        <v/>
      </c>
    </row>
    <row r="22" ht="15" customHeight="1" s="143">
      <c r="A22" s="149" t="inlineStr">
        <is>
          <t>Premier mois EBITDA &gt; 0</t>
        </is>
      </c>
      <c r="B22" s="153">
        <f>IFERROR(MATCH(TRUE(),INDEX('P&amp;L'!B18:AK18&gt;0,0),0),"&gt; 36 mois")</f>
        <v/>
      </c>
    </row>
    <row r="23" ht="15" customHeight="1" s="143">
      <c r="A23" s="149" t="inlineStr">
        <is>
          <t>Premier mois de résultat net cumulé positif</t>
        </is>
      </c>
      <c r="B23" s="153">
        <f>IFERROR(MATCH(TRUE(),INDEX('Base graphique'!B8:AK8&gt;0,0),0),"&gt; 36 mois")</f>
        <v/>
      </c>
    </row>
    <row r="24">
      <c r="A24" s="149" t="n"/>
      <c r="B24" s="149" t="n"/>
    </row>
    <row r="25" ht="15" customHeight="1" s="143">
      <c r="A25" s="150" t="inlineStr">
        <is>
          <t>UNIT ECONOMICS &amp; OFFRE</t>
        </is>
      </c>
      <c r="B25" s="150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15" customHeight="1" s="143">
      <c r="A26" s="149" t="inlineStr">
        <is>
          <t>CAC offre Année 3</t>
        </is>
      </c>
      <c r="B26" s="151">
        <f>KPI!D63</f>
        <v/>
      </c>
    </row>
    <row r="27" ht="15" customHeight="1" s="143">
      <c r="A27" s="149" t="inlineStr">
        <is>
          <t>CAC demande Année 3</t>
        </is>
      </c>
      <c r="B27" s="151">
        <f>KPI!D64</f>
        <v/>
      </c>
    </row>
    <row r="28" ht="15" customHeight="1" s="143">
      <c r="A28" s="149" t="inlineStr">
        <is>
          <t>LTV / CAC offre fin A3 (cible &gt; 3, LTV bornée 36 mois)</t>
        </is>
      </c>
      <c r="B28" s="154">
        <f>KPI!D65</f>
        <v/>
      </c>
    </row>
    <row r="29" ht="15" customHeight="1" s="143">
      <c r="A29" s="149" t="inlineStr">
        <is>
          <t>LTV / CAC demande fin A3 (cible &gt; 3)</t>
        </is>
      </c>
      <c r="B29" s="154">
        <f>KPI!D66</f>
        <v/>
      </c>
    </row>
    <row r="30" ht="15" customHeight="1" s="143">
      <c r="A30" s="149" t="inlineStr">
        <is>
          <t>Prestataires Ampio actifs fin A3</t>
        </is>
      </c>
      <c r="B30" s="155">
        <f>KPI!D59</f>
        <v/>
      </c>
    </row>
    <row r="31">
      <c r="A31" s="149" t="inlineStr">
        <is>
          <t>Utilisation capacité Ampio fin A3 (alerte si ≥ fill rate max)</t>
        </is>
      </c>
      <c r="B31" s="152">
        <f>KPI!D60</f>
        <v/>
      </c>
    </row>
    <row r="32" ht="15" customHeight="1" s="143">
      <c r="A32" s="149" t="inlineStr">
        <is>
          <t>GMV perdu faute d'offre sur 3 ans</t>
        </is>
      </c>
      <c r="B32" s="151">
        <f>SUM(KPI!B61:D61)</f>
        <v/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5" customHeight="1" s="143">
      <c r="A33" s="149" t="inlineStr">
        <is>
          <t>Mois d'activation collaborateur 2 (ou &gt; 36)</t>
        </is>
      </c>
      <c r="B33" s="153">
        <f>IFERROR(MATCH(1,'Plan ventes'!B70:AK70,0),"&gt; 36 mois")</f>
        <v/>
      </c>
    </row>
    <row r="34" ht="15" customHeight="1" s="143">
      <c r="A34" s="149" t="n"/>
      <c r="B34" s="149" t="n"/>
    </row>
    <row r="35" ht="15" customHeight="1" s="143">
      <c r="A35" s="150" t="inlineStr">
        <is>
          <t>FINANCEMENT &amp; TRÉSORERIE</t>
        </is>
      </c>
      <c r="B35" s="150" t="n"/>
    </row>
    <row r="36" ht="15" customHeight="1" s="143">
      <c r="A36" s="149" t="inlineStr">
        <is>
          <t>Besoin de financement initial (CAPEX + démarrage + sécurité)</t>
        </is>
      </c>
      <c r="B36" s="151">
        <f>Financement!B11</f>
        <v/>
      </c>
    </row>
    <row r="37" ht="15" customHeight="1" s="143">
      <c r="A37" s="149" t="inlineStr">
        <is>
          <t>Apport en fonds propres</t>
        </is>
      </c>
      <c r="B37" s="151">
        <f>Financement!B14</f>
        <v/>
      </c>
    </row>
    <row r="38" ht="15" customHeight="1" s="143">
      <c r="A38" s="147" t="inlineStr">
        <is>
          <t>ASK — financement externe recherché</t>
        </is>
      </c>
      <c r="B38" s="156">
        <f>Financement!B18</f>
        <v/>
      </c>
    </row>
    <row r="39" ht="15" customHeight="1" s="143">
      <c r="A39" s="149" t="inlineStr">
        <is>
          <t xml:space="preserve">   dont equity / quasi-fonds propres (indicatif)</t>
        </is>
      </c>
      <c r="B39" s="151">
        <f>Financement!B19</f>
        <v/>
      </c>
    </row>
    <row r="40">
      <c r="A40" s="149" t="inlineStr">
        <is>
          <t xml:space="preserve">   dont dette (indicatif) — modélisé en emprunt</t>
        </is>
      </c>
      <c r="B40" s="151">
        <f>Financement!B20</f>
        <v/>
      </c>
    </row>
    <row r="41">
      <c r="A41" s="149" t="inlineStr">
        <is>
          <t>Mensualité de l'emprunt</t>
        </is>
      </c>
      <c r="B41" s="151">
        <f>Financement!B26</f>
        <v/>
      </c>
    </row>
    <row r="42">
      <c r="A42" s="149" t="inlineStr">
        <is>
          <t>Trésorerie fin Année 3</t>
        </is>
      </c>
      <c r="B42" s="151">
        <f>Tresorerie!AM25</f>
        <v/>
      </c>
    </row>
    <row r="43">
      <c r="A43" s="149" t="inlineStr">
        <is>
          <t>Trésorerie minimale sur 36 mois</t>
        </is>
      </c>
      <c r="B43" s="151">
        <f>Financement!B39</f>
        <v/>
      </c>
    </row>
    <row r="44">
      <c r="A44" s="149" t="inlineStr">
        <is>
          <t>Cible : matelas de sécurité</t>
        </is>
      </c>
      <c r="B44" s="151">
        <f>Financement!B10</f>
        <v/>
      </c>
    </row>
    <row r="45">
      <c r="A45" s="147" t="inlineStr">
        <is>
          <t>Couverture du matelas de sécurité</t>
        </is>
      </c>
      <c r="B45" s="157">
        <f>Financement!B40</f>
        <v/>
      </c>
    </row>
    <row r="46">
      <c r="A46" s="149" t="inlineStr">
        <is>
          <t>Capital restant dû fin M36</t>
        </is>
      </c>
      <c r="B46" s="151">
        <f>Financement!B44</f>
        <v/>
      </c>
    </row>
    <row r="47">
      <c r="A47" s="149" t="inlineStr">
        <is>
          <t>Taux de liquidité fin A3 (cible &gt; 1)</t>
        </is>
      </c>
      <c r="B47" s="154">
        <f>INDEX(KPI!B47:AK47,1,36)</f>
        <v/>
      </c>
    </row>
    <row r="48">
      <c r="A48" s="149" t="n"/>
      <c r="B48" s="149" t="n"/>
    </row>
    <row r="49">
      <c r="A49" s="150" t="inlineStr">
        <is>
          <t>CONTRÔLES</t>
        </is>
      </c>
      <c r="B49" s="150" t="n"/>
    </row>
    <row r="50">
      <c r="A50" s="149" t="inlineStr">
        <is>
          <t>Rule of 40 Année 3 (indicatif, base petite)</t>
        </is>
      </c>
      <c r="B50" s="152">
        <f>KPI!D67</f>
        <v/>
      </c>
    </row>
    <row r="51">
      <c r="A51" s="149" t="inlineStr">
        <is>
          <t>Contrôle bilan max |écart| (Ar)</t>
        </is>
      </c>
      <c r="B51" s="158">
        <f>MAX(ABS(Bilan!C18),ABS(Bilan!AM18))</f>
        <v/>
      </c>
    </row>
    <row r="52">
      <c r="A52" s="149" t="inlineStr">
        <is>
          <t>Contrôle contribution vs P&amp;L max |écart| (Ar)</t>
        </is>
      </c>
      <c r="B52" s="158">
        <f>MAX(ABS(MIN(Contribution!B20:AK20)),ABS(MAX(Contribution!B20:AK20)))</f>
        <v/>
      </c>
    </row>
    <row r="53">
      <c r="A53" s="149" t="inlineStr">
        <is>
          <t>Contrôle mix take rate prestations (doit = 100 %)</t>
        </is>
      </c>
      <c r="B53" s="152">
        <f>Parametres!$D$14</f>
        <v/>
      </c>
    </row>
    <row r="54">
      <c r="A54" s="149" t="n"/>
      <c r="B54" s="149" t="n"/>
    </row>
    <row r="55">
      <c r="A55" s="149" t="n"/>
      <c r="B55" s="149" t="n"/>
    </row>
    <row r="56">
      <c r="A56" s="149" t="n"/>
      <c r="B56" s="149" t="n"/>
    </row>
    <row r="57">
      <c r="A57" s="149" t="n"/>
      <c r="B57" s="149" t="n"/>
    </row>
    <row r="58">
      <c r="A58" s="149" t="n"/>
      <c r="B58" s="149" t="n"/>
    </row>
    <row r="59">
      <c r="A59" s="149" t="n"/>
      <c r="B59" s="149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H165"/>
  <sheetViews>
    <sheetView showGridLines="0" zoomScale="110" zoomScaleNormal="110" workbookViewId="0">
      <pane ySplit="3" topLeftCell="A4" activePane="bottomLeft" state="frozen"/>
      <selection pane="bottomLeft" activeCell="C116" sqref="C116"/>
    </sheetView>
  </sheetViews>
  <sheetFormatPr baseColWidth="10" defaultColWidth="8.83203125" defaultRowHeight="15"/>
  <cols>
    <col width="66" customWidth="1" style="143" min="1" max="1"/>
    <col width="14" customWidth="1" style="143" min="2" max="2"/>
    <col width="22" customWidth="1" style="143" min="3" max="3"/>
    <col width="15" customWidth="1" style="143" min="4" max="4"/>
    <col width="72" customWidth="1" style="143" min="5" max="5"/>
    <col width="12" customWidth="1" style="143" min="6" max="8"/>
    <col width="12" customWidth="1" style="143" min="7" max="7"/>
    <col width="12" customWidth="1" style="143" min="8" max="8"/>
  </cols>
  <sheetData>
    <row r="1" ht="22" customHeight="1" s="143">
      <c r="A1" s="159" t="inlineStr">
        <is>
          <t>TAIRO — HYPOTHÈSES (MGA HT) — MODÈLE 3 ÉTATS</t>
        </is>
      </c>
      <c r="B1" s="159" t="n"/>
      <c r="C1" s="159" t="n"/>
      <c r="D1" s="159" t="n"/>
      <c r="E1" s="159" t="n"/>
      <c r="F1" s="159" t="n"/>
      <c r="G1" s="159" t="n"/>
      <c r="H1" s="159" t="n"/>
    </row>
    <row r="2" s="143">
      <c r="A2" s="147" t="inlineStr">
        <is>
          <t>Scénario actif (1 = Prudent, 2 = Base, 3 = Optimiste)</t>
        </is>
      </c>
      <c r="B2" s="160" t="n">
        <v>2</v>
      </c>
      <c r="C2" s="149" t="n"/>
      <c r="D2" s="149" t="n"/>
      <c r="E2" s="149" t="n"/>
      <c r="F2" s="149" t="n"/>
      <c r="G2" s="149" t="n"/>
      <c r="H2" s="149" t="n"/>
    </row>
    <row r="3" s="143">
      <c r="A3" s="149" t="inlineStr">
        <is>
          <t>Nom du scénario</t>
        </is>
      </c>
      <c r="B3" s="161">
        <f>CHOOSE(B2,"Prudent","Base","Optimiste")</f>
        <v/>
      </c>
      <c r="C3" s="149" t="n"/>
      <c r="D3" s="149" t="n"/>
      <c r="E3" s="149" t="n"/>
      <c r="F3" s="149" t="n"/>
      <c r="G3" s="149" t="n"/>
      <c r="H3" s="149" t="n"/>
    </row>
    <row r="4" s="143">
      <c r="A4" s="149" t="n"/>
      <c r="B4" s="149" t="n"/>
      <c r="C4" s="149" t="n"/>
      <c r="D4" s="149" t="n"/>
      <c r="E4" s="149" t="n"/>
      <c r="F4" s="149" t="n"/>
      <c r="G4" s="149" t="n"/>
      <c r="H4" s="149" t="n"/>
    </row>
    <row r="5" ht="18" customHeight="1" s="143">
      <c r="A5" s="150" t="inlineStr">
        <is>
          <t>1 · REVENUS — PRESTATIONS (Tairo Ampio, cœur du modèle — commission prélevée sur le prestataire)</t>
        </is>
      </c>
      <c r="B5" s="150" t="n"/>
      <c r="C5" s="150" t="n"/>
      <c r="D5" s="150" t="n"/>
      <c r="E5" s="150" t="n"/>
      <c r="F5" s="150" t="n"/>
      <c r="G5" s="150" t="n"/>
      <c r="H5" s="150" t="n"/>
    </row>
    <row r="6" s="143">
      <c r="A6" s="162" t="inlineStr">
        <is>
          <t>Libellé</t>
        </is>
      </c>
      <c r="B6" s="162" t="inlineStr">
        <is>
          <t>Valeur base</t>
        </is>
      </c>
      <c r="C6" s="162" t="inlineStr">
        <is>
          <t>Unité</t>
        </is>
      </c>
      <c r="D6" s="162" t="inlineStr">
        <is>
          <t>Valeur scénario</t>
        </is>
      </c>
      <c r="E6" s="162" t="inlineStr">
        <is>
          <t>Note</t>
        </is>
      </c>
      <c r="F6" s="162" t="n"/>
      <c r="G6" s="162" t="n"/>
      <c r="H6" s="162" t="n"/>
    </row>
    <row r="7" s="143">
      <c r="A7" s="163" t="inlineStr">
        <is>
          <t>Prestations demandées au mois 1</t>
        </is>
      </c>
      <c r="B7" s="164" t="n">
        <v>75</v>
      </c>
      <c r="C7" s="165" t="inlineStr">
        <is>
          <t>prestations/mois</t>
        </is>
      </c>
      <c r="D7" s="158">
        <f>B7*Scenarios!$E$4</f>
        <v/>
      </c>
      <c r="E7" s="166" t="inlineStr">
        <is>
          <t>Demande brute. Les prestations réalisées = MIN(demande, capacité de l'offre) — voir section 10.</t>
        </is>
      </c>
      <c r="F7" s="149" t="n"/>
      <c r="G7" s="149" t="n"/>
      <c r="H7" s="149" t="n"/>
    </row>
    <row r="8" s="143">
      <c r="A8" s="163" t="inlineStr">
        <is>
          <t>Panier moyen d'une prestation (année 1)</t>
        </is>
      </c>
      <c r="B8" s="167" t="n">
        <v>35000</v>
      </c>
      <c r="C8" s="165" t="inlineStr">
        <is>
          <t>Ar</t>
        </is>
      </c>
      <c r="D8" s="168">
        <f>B8*Scenarios!$E$6</f>
        <v/>
      </c>
      <c r="E8" s="166" t="inlineStr">
        <is>
          <t>Indexé chaque année sur l'inflation des coûts variables (section 6).</t>
        </is>
      </c>
      <c r="F8" s="149" t="n"/>
      <c r="G8" s="149" t="n"/>
      <c r="H8" s="149" t="n"/>
    </row>
    <row r="9" s="143">
      <c r="A9" s="163" t="inlineStr">
        <is>
          <t>Part du GMV — catégories à 10 % (Plomberie, Ménage, BTP…)</t>
        </is>
      </c>
      <c r="B9" s="169" t="n">
        <v>0.7</v>
      </c>
      <c r="C9" s="165" t="inlineStr">
        <is>
          <t>% GMV</t>
        </is>
      </c>
      <c r="D9" s="170">
        <f>B9</f>
        <v/>
      </c>
      <c r="E9" s="149" t="n"/>
      <c r="F9" s="149" t="n"/>
      <c r="G9" s="149" t="n"/>
      <c r="H9" s="149" t="n"/>
    </row>
    <row r="10" s="143">
      <c r="A10" s="163" t="inlineStr">
        <is>
          <t>Part du GMV — catégories à 15 % (Cuisine)</t>
        </is>
      </c>
      <c r="B10" s="169" t="n">
        <v>0.1</v>
      </c>
      <c r="C10" s="165" t="inlineStr">
        <is>
          <t>% GMV</t>
        </is>
      </c>
      <c r="D10" s="170">
        <f>B10</f>
        <v/>
      </c>
      <c r="E10" s="149" t="n"/>
      <c r="F10" s="149" t="n"/>
      <c r="G10" s="149" t="n"/>
      <c r="H10" s="149" t="n"/>
    </row>
    <row r="11" s="143">
      <c r="A11" s="163" t="inlineStr">
        <is>
          <t>Part du GMV — catégories à 20 % (Déménagement)</t>
        </is>
      </c>
      <c r="B11" s="169" t="n">
        <v>0.05</v>
      </c>
      <c r="C11" s="165" t="inlineStr">
        <is>
          <t>% GMV</t>
        </is>
      </c>
      <c r="D11" s="170">
        <f>B11</f>
        <v/>
      </c>
      <c r="E11" s="149" t="n"/>
      <c r="F11" s="149" t="n"/>
      <c r="G11" s="149" t="n"/>
      <c r="H11" s="149" t="n"/>
    </row>
    <row r="12" s="143">
      <c r="A12" s="163" t="inlineStr">
        <is>
          <t>Part du GMV — catégories à 25 % (Informatique, Transport…)</t>
        </is>
      </c>
      <c r="B12" s="169" t="n">
        <v>0.15</v>
      </c>
      <c r="C12" s="165" t="inlineStr">
        <is>
          <t>% GMV</t>
        </is>
      </c>
      <c r="D12" s="170">
        <f>B12</f>
        <v/>
      </c>
      <c r="E12" s="149" t="n"/>
      <c r="F12" s="149" t="n"/>
      <c r="G12" s="149" t="n"/>
      <c r="H12" s="149" t="n"/>
    </row>
    <row r="13" s="143">
      <c r="A13" s="171" t="inlineStr">
        <is>
          <t>Take rate moyen services (calculé)</t>
        </is>
      </c>
      <c r="B13" s="172" t="n"/>
      <c r="C13" s="173" t="inlineStr">
        <is>
          <t>%</t>
        </is>
      </c>
      <c r="D13" s="174">
        <f>0.1*$D$9+0.15*$D$10+0.2*$D$11+0.25*$D$12</f>
        <v/>
      </c>
      <c r="E13" s="172" t="n"/>
      <c r="F13" s="172" t="n"/>
      <c r="G13" s="172" t="n"/>
      <c r="H13" s="172" t="n"/>
    </row>
    <row r="14" s="143">
      <c r="A14" s="171" t="inlineStr">
        <is>
          <t>Contrôle mix (doit = 100 %)</t>
        </is>
      </c>
      <c r="B14" s="172" t="n"/>
      <c r="C14" s="173" t="inlineStr">
        <is>
          <t>%</t>
        </is>
      </c>
      <c r="D14" s="175">
        <f>$D$9+$D$10+$D$11+$D$12</f>
        <v/>
      </c>
      <c r="E14" s="172" t="n"/>
      <c r="F14" s="172" t="n"/>
      <c r="G14" s="172" t="n"/>
      <c r="H14" s="172" t="n"/>
    </row>
    <row r="15" s="143">
      <c r="A15" s="149" t="n"/>
      <c r="B15" s="149" t="n"/>
      <c r="C15" s="149" t="n"/>
      <c r="D15" s="149" t="n"/>
      <c r="E15" s="149" t="n"/>
      <c r="F15" s="149" t="n"/>
      <c r="G15" s="149" t="n"/>
      <c r="H15" s="149" t="n"/>
    </row>
    <row r="16" ht="18" customHeight="1" s="143">
      <c r="A16" s="150" t="inlineStr">
        <is>
          <t>2 · REVENUS — ABONNEMENT Ampio+ (fusionné avec l'offre : part des prestataires actifs abonnés)</t>
        </is>
      </c>
      <c r="B16" s="150" t="n"/>
      <c r="C16" s="150" t="n"/>
      <c r="D16" s="150" t="n"/>
      <c r="E16" s="150" t="n"/>
      <c r="F16" s="150" t="n"/>
      <c r="G16" s="150" t="n"/>
      <c r="H16" s="150" t="n"/>
    </row>
    <row r="17" s="143">
      <c r="A17" s="162" t="inlineStr">
        <is>
          <t>Libellé</t>
        </is>
      </c>
      <c r="B17" s="162" t="inlineStr">
        <is>
          <t>Valeur base</t>
        </is>
      </c>
      <c r="C17" s="162" t="inlineStr">
        <is>
          <t>Unité</t>
        </is>
      </c>
      <c r="D17" s="162" t="inlineStr">
        <is>
          <t>Valeur scénario</t>
        </is>
      </c>
      <c r="E17" s="162" t="inlineStr">
        <is>
          <t>Note</t>
        </is>
      </c>
      <c r="F17" s="162" t="n"/>
      <c r="G17" s="162" t="n"/>
      <c r="H17" s="162" t="n"/>
    </row>
    <row r="18" s="143">
      <c r="A18" s="163" t="inlineStr">
        <is>
          <t>Prix de l'abonnement mensuel (année 1)</t>
        </is>
      </c>
      <c r="B18" s="167" t="n">
        <v>24000</v>
      </c>
      <c r="C18" s="165" t="inlineStr">
        <is>
          <t>Ar/mois</t>
        </is>
      </c>
      <c r="D18" s="176">
        <f>B18</f>
        <v/>
      </c>
      <c r="E18" s="166" t="inlineStr">
        <is>
          <t>Indexé chaque année (section 6).</t>
        </is>
      </c>
      <c r="F18" s="149" t="n"/>
      <c r="G18" s="149" t="n"/>
      <c r="H18" s="149" t="n"/>
    </row>
    <row r="19" s="143">
      <c r="A19" s="163" t="inlineStr">
        <is>
          <t>Part des prestataires actifs abonnés à Ampio+ (pénétration)</t>
        </is>
      </c>
      <c r="B19" s="169" t="n">
        <v>0.1</v>
      </c>
      <c r="C19" s="165" t="inlineStr">
        <is>
          <t>%</t>
        </is>
      </c>
      <c r="D19" s="170">
        <f>B19</f>
        <v/>
      </c>
      <c r="E19" s="166" t="inlineStr">
        <is>
          <t>Remplace l'ancien stock d'abonnés autonome (5 abonnés, churn 6 %) : les abonnés suivent désormais le nombre de prestataires actifs (section 10).</t>
        </is>
      </c>
      <c r="F19" s="149" t="n"/>
      <c r="G19" s="149" t="n"/>
      <c r="H19" s="149" t="n"/>
    </row>
    <row r="20" s="143">
      <c r="A20" s="149" t="n"/>
      <c r="B20" s="149" t="n"/>
      <c r="C20" s="149" t="n"/>
      <c r="D20" s="149" t="n"/>
      <c r="E20" s="149" t="n"/>
      <c r="F20" s="149" t="n"/>
      <c r="G20" s="149" t="n"/>
      <c r="H20" s="149" t="n"/>
    </row>
    <row r="21" ht="18" customHeight="1" s="143">
      <c r="A21" s="150" t="inlineStr">
        <is>
          <t>3 · REVENUS — MISE EN LIGNE VIDÉO (Tairo Ampianaro B2B, clients professionnels)</t>
        </is>
      </c>
      <c r="B21" s="150" t="n"/>
      <c r="C21" s="150" t="n"/>
      <c r="D21" s="150" t="n"/>
      <c r="E21" s="150" t="n"/>
      <c r="F21" s="150" t="n"/>
      <c r="G21" s="150" t="n"/>
      <c r="H21" s="150" t="n"/>
    </row>
    <row r="22" s="143">
      <c r="A22" s="162" t="inlineStr">
        <is>
          <t>Libellé</t>
        </is>
      </c>
      <c r="B22" s="162" t="inlineStr">
        <is>
          <t>Valeur base</t>
        </is>
      </c>
      <c r="C22" s="162" t="inlineStr">
        <is>
          <t>Unité</t>
        </is>
      </c>
      <c r="D22" s="162" t="inlineStr">
        <is>
          <t>Valeur scénario</t>
        </is>
      </c>
      <c r="E22" s="162" t="inlineStr">
        <is>
          <t>Note</t>
        </is>
      </c>
      <c r="F22" s="162" t="n"/>
      <c r="G22" s="162" t="n"/>
      <c r="H22" s="162" t="n"/>
    </row>
    <row r="23" s="143">
      <c r="A23" s="163" t="inlineStr">
        <is>
          <t>Prix mensuel du service vidéo (année 1)</t>
        </is>
      </c>
      <c r="B23" s="167" t="n">
        <v>64000</v>
      </c>
      <c r="C23" s="165" t="inlineStr">
        <is>
          <t>Ar/mois</t>
        </is>
      </c>
      <c r="D23" s="176">
        <f>B23</f>
        <v/>
      </c>
      <c r="E23" s="166" t="inlineStr">
        <is>
          <t>Indexé chaque année (section 6).</t>
        </is>
      </c>
      <c r="F23" s="149" t="n"/>
      <c r="G23" s="149" t="n"/>
      <c r="H23" s="149" t="n"/>
    </row>
    <row r="24" s="143">
      <c r="A24" s="163" t="inlineStr">
        <is>
          <t>Clients vidéo actifs au mois 1</t>
        </is>
      </c>
      <c r="B24" s="164" t="n">
        <v>15</v>
      </c>
      <c r="C24" s="165" t="inlineStr">
        <is>
          <t>clients</t>
        </is>
      </c>
      <c r="D24" s="158">
        <f>B24*Scenarios!$E$4</f>
        <v/>
      </c>
      <c r="E24" s="149" t="n"/>
      <c r="F24" s="149" t="n"/>
      <c r="G24" s="149" t="n"/>
      <c r="H24" s="149" t="n"/>
    </row>
    <row r="25" s="143">
      <c r="A25" s="163" t="inlineStr">
        <is>
          <t>Churn mensuel clients vidéo</t>
        </is>
      </c>
      <c r="B25" s="169" t="n">
        <v>0.025</v>
      </c>
      <c r="C25" s="165" t="inlineStr">
        <is>
          <t>%/mois</t>
        </is>
      </c>
      <c r="D25" s="152">
        <f>MIN(1,B25*Scenarios!$E$7)</f>
        <v/>
      </c>
      <c r="E25" s="149" t="n"/>
      <c r="F25" s="149" t="n"/>
      <c r="G25" s="149" t="n"/>
      <c r="H25" s="149" t="n"/>
    </row>
    <row r="26" s="143">
      <c r="A26" s="149" t="n"/>
      <c r="B26" s="149" t="n"/>
      <c r="C26" s="149" t="n"/>
      <c r="D26" s="149" t="n"/>
      <c r="E26" s="149" t="n"/>
      <c r="F26" s="149" t="n"/>
      <c r="G26" s="149" t="n"/>
      <c r="H26" s="149" t="n"/>
    </row>
    <row r="27" ht="18" customHeight="1" s="143">
      <c r="A27" s="150" t="inlineStr">
        <is>
          <t>4 · REVENUS — LOCATION MATÉRIEL PRO (Ampindramo PRO, commission par paliers)</t>
        </is>
      </c>
      <c r="B27" s="150" t="n"/>
      <c r="C27" s="150" t="n"/>
      <c r="D27" s="150" t="n"/>
      <c r="E27" s="150" t="n"/>
      <c r="F27" s="150" t="n"/>
      <c r="G27" s="150" t="n"/>
      <c r="H27" s="150" t="n"/>
    </row>
    <row r="28" s="143">
      <c r="A28" s="162" t="inlineStr">
        <is>
          <t>Libellé</t>
        </is>
      </c>
      <c r="B28" s="162" t="inlineStr">
        <is>
          <t>Valeur base</t>
        </is>
      </c>
      <c r="C28" s="162" t="inlineStr">
        <is>
          <t>Unité</t>
        </is>
      </c>
      <c r="D28" s="162" t="inlineStr">
        <is>
          <t>Valeur scénario</t>
        </is>
      </c>
      <c r="E28" s="162" t="inlineStr">
        <is>
          <t>Note</t>
        </is>
      </c>
      <c r="F28" s="162" t="n"/>
      <c r="G28" s="162" t="n"/>
      <c r="H28" s="162" t="n"/>
    </row>
    <row r="29" s="143">
      <c r="A29" s="163" t="inlineStr">
        <is>
          <t>Locations pro demandées au mois 1</t>
        </is>
      </c>
      <c r="B29" s="164" t="n">
        <v>15</v>
      </c>
      <c r="C29" s="165" t="inlineStr">
        <is>
          <t>locations/mois</t>
        </is>
      </c>
      <c r="D29" s="158">
        <f>B29*Scenarios!$E$4</f>
        <v/>
      </c>
      <c r="E29" s="149" t="n"/>
      <c r="F29" s="149" t="n"/>
      <c r="G29" s="149" t="n"/>
      <c r="H29" s="149" t="n"/>
    </row>
    <row r="30" s="143">
      <c r="A30" s="163" t="inlineStr">
        <is>
          <t>Loyer total moyen d'une location pro (année 1)</t>
        </is>
      </c>
      <c r="B30" s="167" t="n">
        <v>15000</v>
      </c>
      <c r="C30" s="165" t="inlineStr">
        <is>
          <t>Ar</t>
        </is>
      </c>
      <c r="D30" s="168">
        <f>B30*Scenarios!$E$6</f>
        <v/>
      </c>
      <c r="E30" s="149" t="n"/>
      <c r="F30" s="149" t="n"/>
      <c r="G30" s="149" t="n"/>
      <c r="H30" s="149" t="n"/>
    </row>
    <row r="31" s="143">
      <c r="A31" s="163" t="inlineStr">
        <is>
          <t>Part du GMV — total ≤ 25 000 Ar (taux 30 %)</t>
        </is>
      </c>
      <c r="B31" s="169" t="n">
        <v>0.85</v>
      </c>
      <c r="C31" s="165" t="inlineStr">
        <is>
          <t>% GMV</t>
        </is>
      </c>
      <c r="D31" s="170">
        <f>B31</f>
        <v/>
      </c>
      <c r="E31" s="149" t="n"/>
      <c r="F31" s="149" t="n"/>
      <c r="G31" s="149" t="n"/>
      <c r="H31" s="149" t="n"/>
    </row>
    <row r="32" s="143">
      <c r="A32" s="163" t="inlineStr">
        <is>
          <t>Part du GMV — 25 001 à 45 000 Ar (taux 20 %)</t>
        </is>
      </c>
      <c r="B32" s="169" t="n">
        <v>0.12</v>
      </c>
      <c r="C32" s="165" t="inlineStr">
        <is>
          <t>% GMV</t>
        </is>
      </c>
      <c r="D32" s="170">
        <f>B32</f>
        <v/>
      </c>
      <c r="E32" s="149" t="n"/>
      <c r="F32" s="149" t="n"/>
      <c r="G32" s="149" t="n"/>
      <c r="H32" s="149" t="n"/>
    </row>
    <row r="33" s="143">
      <c r="A33" s="163" t="inlineStr">
        <is>
          <t>Part du GMV — &gt; 45 000 Ar (taux 15 %)</t>
        </is>
      </c>
      <c r="B33" s="169" t="n">
        <v>0.03</v>
      </c>
      <c r="C33" s="165" t="inlineStr">
        <is>
          <t>% GMV</t>
        </is>
      </c>
      <c r="D33" s="170">
        <f>B33</f>
        <v/>
      </c>
      <c r="E33" s="149" t="n"/>
      <c r="F33" s="149" t="n"/>
      <c r="G33" s="149" t="n"/>
      <c r="H33" s="149" t="n"/>
    </row>
    <row r="34" s="143">
      <c r="A34" s="171" t="inlineStr">
        <is>
          <t>Take rate moyen location pro (calculé)</t>
        </is>
      </c>
      <c r="B34" s="172" t="n"/>
      <c r="C34" s="173" t="inlineStr">
        <is>
          <t>%</t>
        </is>
      </c>
      <c r="D34" s="174">
        <f>0.3*$D$31+0.2*$D$32+0.15*$D$33</f>
        <v/>
      </c>
      <c r="E34" s="172" t="n"/>
      <c r="F34" s="172" t="n"/>
      <c r="G34" s="172" t="n"/>
      <c r="H34" s="172" t="n"/>
    </row>
    <row r="35" s="143">
      <c r="A35" s="171" t="inlineStr">
        <is>
          <t>Contrôle mix (doit = 100 %)</t>
        </is>
      </c>
      <c r="B35" s="172" t="n"/>
      <c r="C35" s="173" t="inlineStr">
        <is>
          <t>%</t>
        </is>
      </c>
      <c r="D35" s="175">
        <f>$D$31+$D$32+$D$33</f>
        <v/>
      </c>
      <c r="E35" s="172" t="n"/>
      <c r="F35" s="172" t="n"/>
      <c r="G35" s="172" t="n"/>
      <c r="H35" s="172" t="n"/>
    </row>
    <row r="36" s="143">
      <c r="A36" s="149" t="n"/>
      <c r="B36" s="149" t="n"/>
      <c r="C36" s="149" t="n"/>
      <c r="D36" s="149" t="n"/>
      <c r="E36" s="149" t="n"/>
      <c r="F36" s="149" t="n"/>
      <c r="G36" s="149" t="n"/>
      <c r="H36" s="149" t="n"/>
    </row>
    <row r="37" ht="18" customHeight="1" s="143">
      <c r="A37" s="150" t="inlineStr">
        <is>
          <t>5 · REVENUS — LOCATION MATÉRIEL PARTICULIERS (Ampindramo C2C)</t>
        </is>
      </c>
      <c r="B37" s="150" t="n"/>
      <c r="C37" s="150" t="n"/>
      <c r="D37" s="150" t="n"/>
      <c r="E37" s="150" t="n"/>
      <c r="F37" s="150" t="n"/>
      <c r="G37" s="150" t="n"/>
      <c r="H37" s="150" t="n"/>
    </row>
    <row r="38" s="143">
      <c r="A38" s="162" t="inlineStr">
        <is>
          <t>Libellé</t>
        </is>
      </c>
      <c r="B38" s="162" t="inlineStr">
        <is>
          <t>Valeur base</t>
        </is>
      </c>
      <c r="C38" s="162" t="inlineStr">
        <is>
          <t>Unité</t>
        </is>
      </c>
      <c r="D38" s="162" t="inlineStr">
        <is>
          <t>Valeur scénario</t>
        </is>
      </c>
      <c r="E38" s="162" t="inlineStr">
        <is>
          <t>Note</t>
        </is>
      </c>
      <c r="F38" s="162" t="n"/>
      <c r="G38" s="162" t="n"/>
      <c r="H38" s="162" t="n"/>
    </row>
    <row r="39" s="143">
      <c r="A39" s="163" t="inlineStr">
        <is>
          <t>Locations particuliers demandées au mois 1</t>
        </is>
      </c>
      <c r="B39" s="164" t="n">
        <v>12</v>
      </c>
      <c r="C39" s="165" t="inlineStr">
        <is>
          <t>locations/mois</t>
        </is>
      </c>
      <c r="D39" s="158">
        <f>B39*Scenarios!$E$4</f>
        <v/>
      </c>
      <c r="E39" s="149" t="n"/>
      <c r="F39" s="149" t="n"/>
      <c r="G39" s="149" t="n"/>
      <c r="H39" s="149" t="n"/>
    </row>
    <row r="40" s="143">
      <c r="A40" s="163" t="inlineStr">
        <is>
          <t>Loyer total moyen (année 1)</t>
        </is>
      </c>
      <c r="B40" s="167" t="n">
        <v>10000</v>
      </c>
      <c r="C40" s="165" t="inlineStr">
        <is>
          <t>Ar</t>
        </is>
      </c>
      <c r="D40" s="168">
        <f>B40*Scenarios!$E$6</f>
        <v/>
      </c>
      <c r="E40" s="149" t="n"/>
      <c r="F40" s="149" t="n"/>
      <c r="G40" s="149" t="n"/>
      <c r="H40" s="149" t="n"/>
    </row>
    <row r="41" s="143">
      <c r="A41" s="163" t="inlineStr">
        <is>
          <t>Taux de commission particuliers (fixe, hors caution)</t>
        </is>
      </c>
      <c r="B41" s="169" t="n">
        <v>0.13</v>
      </c>
      <c r="C41" s="165" t="inlineStr">
        <is>
          <t>%</t>
        </is>
      </c>
      <c r="D41" s="170">
        <f>B41</f>
        <v/>
      </c>
      <c r="E41" s="149" t="n"/>
      <c r="F41" s="149" t="n"/>
      <c r="G41" s="149" t="n"/>
      <c r="H41" s="149" t="n"/>
    </row>
    <row r="42" s="143">
      <c r="A42" s="149" t="n"/>
      <c r="B42" s="149" t="n"/>
      <c r="C42" s="149" t="n"/>
      <c r="D42" s="149" t="n"/>
      <c r="E42" s="149" t="n"/>
      <c r="F42" s="149" t="n"/>
      <c r="G42" s="149" t="n"/>
      <c r="H42" s="149" t="n"/>
    </row>
    <row r="43" ht="18" customHeight="1" s="143">
      <c r="A43" s="150" t="inlineStr">
        <is>
          <t>6 · INDEXATION DES PRIX &amp; INFLATION (pas annuel, appliqué à chaque nouvelle année du plan)</t>
        </is>
      </c>
      <c r="B43" s="150" t="n"/>
      <c r="C43" s="150" t="n"/>
      <c r="D43" s="150" t="n"/>
      <c r="E43" s="150" t="n"/>
      <c r="F43" s="150" t="n"/>
      <c r="G43" s="150" t="n"/>
      <c r="H43" s="150" t="n"/>
    </row>
    <row r="44" s="143">
      <c r="A44" s="162" t="inlineStr">
        <is>
          <t>Libellé</t>
        </is>
      </c>
      <c r="B44" s="162" t="inlineStr">
        <is>
          <t>Valeur base</t>
        </is>
      </c>
      <c r="C44" s="162" t="inlineStr">
        <is>
          <t>Unité</t>
        </is>
      </c>
      <c r="D44" s="162" t="inlineStr">
        <is>
          <t>Valeur scénario</t>
        </is>
      </c>
      <c r="E44" s="162" t="inlineStr">
        <is>
          <t>Note</t>
        </is>
      </c>
      <c r="F44" s="162" t="n"/>
      <c r="G44" s="162" t="n"/>
      <c r="H44" s="162" t="n"/>
    </row>
    <row r="45" s="143">
      <c r="A45" s="163" t="inlineStr">
        <is>
          <t>Indexation annuelle des prix (abonnement Ampio+, service vidéo)</t>
        </is>
      </c>
      <c r="B45" s="169" t="n">
        <v>0.08</v>
      </c>
      <c r="C45" s="165" t="inlineStr">
        <is>
          <t>%/an</t>
        </is>
      </c>
      <c r="D45" s="170">
        <f>B45</f>
        <v/>
      </c>
      <c r="E45" s="166" t="inlineStr">
        <is>
          <t>Aligné par défaut sur l'inflation des coûts pour éviter la compression silencieuse des marges.</t>
        </is>
      </c>
      <c r="F45" s="149" t="n"/>
      <c r="G45" s="149" t="n"/>
      <c r="H45" s="149" t="n"/>
    </row>
    <row r="46" s="143">
      <c r="A46" s="163" t="inlineStr">
        <is>
          <t>Inflation annuelle des coûts variables et des paniers / loyers moyens</t>
        </is>
      </c>
      <c r="B46" s="169" t="n">
        <v>0.08</v>
      </c>
      <c r="C46" s="165" t="inlineStr">
        <is>
          <t>%/an</t>
        </is>
      </c>
      <c r="D46" s="170">
        <f>B46</f>
        <v/>
      </c>
      <c r="E46" s="149" t="n"/>
      <c r="F46" s="149" t="n"/>
      <c r="G46" s="149" t="n"/>
      <c r="H46" s="149" t="n"/>
    </row>
    <row r="47" s="143">
      <c r="A47" s="163" t="inlineStr">
        <is>
          <t>Inflation annuelle des OPEX (salaires, loyer, tech, accompagnement)</t>
        </is>
      </c>
      <c r="B47" s="169" t="n">
        <v>0.08</v>
      </c>
      <c r="C47" s="165" t="inlineStr">
        <is>
          <t>%/an</t>
        </is>
      </c>
      <c r="D47" s="170">
        <f>B47</f>
        <v/>
      </c>
      <c r="E47" s="149" t="n"/>
      <c r="F47" s="149" t="n"/>
      <c r="G47" s="149" t="n"/>
      <c r="H47" s="149" t="n"/>
    </row>
    <row r="48" s="143">
      <c r="A48" s="149" t="n"/>
      <c r="B48" s="149" t="n"/>
      <c r="C48" s="149" t="n"/>
      <c r="D48" s="149" t="n"/>
      <c r="E48" s="149" t="n"/>
      <c r="F48" s="149" t="n"/>
      <c r="G48" s="149" t="n"/>
      <c r="H48" s="149" t="n"/>
    </row>
    <row r="49" ht="18" customHeight="1" s="143">
      <c r="A49" s="150" t="inlineStr">
        <is>
          <t>7 · CROISSANCE MENSUELLE DE LA DEMANDE — PAR ANNÉE, AU BUDGET D'ACQUISITION DE RÉFÉRENCE (ralentissement après A1)</t>
        </is>
      </c>
      <c r="B49" s="150" t="n"/>
      <c r="C49" s="150" t="n"/>
      <c r="D49" s="150" t="n"/>
      <c r="E49" s="150" t="n"/>
      <c r="F49" s="150" t="n"/>
      <c r="G49" s="150" t="n"/>
      <c r="H49" s="150" t="n"/>
    </row>
    <row r="50" s="143">
      <c r="A50" s="162" t="inlineStr">
        <is>
          <t>Segment</t>
        </is>
      </c>
      <c r="B50" s="162" t="inlineStr">
        <is>
          <t>Année 1 (base)</t>
        </is>
      </c>
      <c r="C50" s="162" t="inlineStr">
        <is>
          <t>Année 2 (base)</t>
        </is>
      </c>
      <c r="D50" s="162" t="inlineStr">
        <is>
          <t>Année 3 (base)</t>
        </is>
      </c>
      <c r="E50" s="162" t="inlineStr">
        <is>
          <t>Note</t>
        </is>
      </c>
      <c r="F50" s="162" t="inlineStr">
        <is>
          <t>Année 1 (actif)</t>
        </is>
      </c>
      <c r="G50" s="162" t="inlineStr">
        <is>
          <t>Année 2 (actif)</t>
        </is>
      </c>
      <c r="H50" s="162" t="inlineStr">
        <is>
          <t>Année 3 (actif)</t>
        </is>
      </c>
    </row>
    <row r="51" s="143">
      <c r="A51" s="163" t="inlineStr">
        <is>
          <t>Clients vidéo B2B</t>
        </is>
      </c>
      <c r="B51" s="169" t="n">
        <v>0.05</v>
      </c>
      <c r="C51" s="169" t="n">
        <v>0.04</v>
      </c>
      <c r="D51" s="169" t="n">
        <v>0.03</v>
      </c>
      <c r="E51" s="166" t="inlineStr">
        <is>
          <t>Ralentissement introduit : 5 % → 4 % → 3 %. Multiplié par le facteur d'acquisition (section 9).</t>
        </is>
      </c>
      <c r="F51" s="177">
        <f>B51*Scenarios!$E$5</f>
        <v/>
      </c>
      <c r="G51" s="177">
        <f>C51*Scenarios!$E$5</f>
        <v/>
      </c>
      <c r="H51" s="177">
        <f>D51*Scenarios!$E$5</f>
        <v/>
      </c>
    </row>
    <row r="52" s="143">
      <c r="A52" s="163" t="inlineStr">
        <is>
          <t>Prestations Ampio (demande)</t>
        </is>
      </c>
      <c r="B52" s="169" t="n">
        <v>0.02</v>
      </c>
      <c r="C52" s="169" t="n">
        <v>0.025</v>
      </c>
      <c r="D52" s="169" t="n">
        <v>0.02</v>
      </c>
      <c r="E52" s="166" t="inlineStr">
        <is>
          <t>2 % pré-PMF, 2,5 % en A2 si collab 2 actif (sinon plafond section 8), 2 % en A3. L'accélération à 3 % a été retirée.</t>
        </is>
      </c>
      <c r="F52" s="177">
        <f>B52*Scenarios!$E$5</f>
        <v/>
      </c>
      <c r="G52" s="177">
        <f>C52*Scenarios!$E$5</f>
        <v/>
      </c>
      <c r="H52" s="177">
        <f>D52*Scenarios!$E$5</f>
        <v/>
      </c>
    </row>
    <row r="53" s="143">
      <c r="A53" s="163" t="inlineStr">
        <is>
          <t>Locations pro (demande)</t>
        </is>
      </c>
      <c r="B53" s="169" t="n">
        <v>0.018</v>
      </c>
      <c r="C53" s="169" t="n">
        <v>0.025</v>
      </c>
      <c r="D53" s="169" t="n">
        <v>0.02</v>
      </c>
      <c r="E53" s="166" t="inlineStr">
        <is>
          <t>Même logique de plafond que les prestations tant que collab 2 absent.</t>
        </is>
      </c>
      <c r="F53" s="177">
        <f>B53*Scenarios!$E$5</f>
        <v/>
      </c>
      <c r="G53" s="177">
        <f>C53*Scenarios!$E$5</f>
        <v/>
      </c>
      <c r="H53" s="177">
        <f>D53*Scenarios!$E$5</f>
        <v/>
      </c>
    </row>
    <row r="54" s="143">
      <c r="A54" s="163" t="inlineStr">
        <is>
          <t>Locations particuliers C2C (demande)</t>
        </is>
      </c>
      <c r="B54" s="169" t="n">
        <v>0.015</v>
      </c>
      <c r="C54" s="169" t="n">
        <v>0.012</v>
      </c>
      <c r="D54" s="169" t="n">
        <v>0.01</v>
      </c>
      <c r="E54" s="166" t="inlineStr">
        <is>
          <t>C2C plus lent (confiance, caution, concurrence WhatsApp/Facebook). Pas de bonus d'embauche.</t>
        </is>
      </c>
      <c r="F54" s="177">
        <f>B54*Scenarios!$E$5</f>
        <v/>
      </c>
      <c r="G54" s="177">
        <f>C54*Scenarios!$E$5</f>
        <v/>
      </c>
      <c r="H54" s="177">
        <f>D54*Scenarios!$E$5</f>
        <v/>
      </c>
    </row>
    <row r="55" s="143">
      <c r="A55" s="149" t="n"/>
      <c r="B55" s="149" t="n"/>
      <c r="C55" s="149" t="n"/>
      <c r="D55" s="149" t="n"/>
      <c r="E55" s="149" t="n"/>
      <c r="F55" s="149" t="n"/>
      <c r="G55" s="149" t="n"/>
      <c r="H55" s="149" t="n"/>
    </row>
    <row r="56" ht="18" customHeight="1" s="143">
      <c r="A56" s="150" t="inlineStr">
        <is>
          <t>8 · PLAFOND DE CROISSANCE SI COLLAB 2 ABSENT (années 2–3)</t>
        </is>
      </c>
      <c r="B56" s="150" t="n"/>
      <c r="C56" s="150" t="n"/>
      <c r="D56" s="150" t="n"/>
      <c r="E56" s="150" t="n"/>
      <c r="F56" s="150" t="n"/>
      <c r="G56" s="150" t="n"/>
      <c r="H56" s="150" t="n"/>
    </row>
    <row r="57" s="143">
      <c r="A57" s="162" t="inlineStr">
        <is>
          <t>Libellé</t>
        </is>
      </c>
      <c r="B57" s="162" t="inlineStr">
        <is>
          <t>Valeur base</t>
        </is>
      </c>
      <c r="C57" s="162" t="inlineStr">
        <is>
          <t>Unité</t>
        </is>
      </c>
      <c r="D57" s="162" t="inlineStr">
        <is>
          <t>Valeur scénario</t>
        </is>
      </c>
      <c r="E57" s="162" t="inlineStr">
        <is>
          <t>Note</t>
        </is>
      </c>
      <c r="F57" s="162" t="n"/>
      <c r="G57" s="162" t="n"/>
      <c r="H57" s="162" t="n"/>
    </row>
    <row r="58" s="143">
      <c r="A58" s="163" t="inlineStr">
        <is>
          <t>Prestations Ampio — MoM tant que collab 2 inactif</t>
        </is>
      </c>
      <c r="B58" s="169" t="n">
        <v>0.02</v>
      </c>
      <c r="C58" s="165" t="inlineStr">
        <is>
          <t>%/mois</t>
        </is>
      </c>
      <c r="D58" s="152">
        <f>B58*Scenarios!$E$5</f>
        <v/>
      </c>
      <c r="E58" s="166" t="inlineStr">
        <is>
          <t>Sans 3e personne, l'onboarding n'accélère pas. C2C non plafonné.</t>
        </is>
      </c>
      <c r="F58" s="149" t="n"/>
      <c r="G58" s="149" t="n"/>
      <c r="H58" s="149" t="n"/>
    </row>
    <row r="59" s="143">
      <c r="A59" s="163" t="inlineStr">
        <is>
          <t>Locations pro — MoM tant que collab 2 inactif</t>
        </is>
      </c>
      <c r="B59" s="169" t="n">
        <v>0.018</v>
      </c>
      <c r="C59" s="165" t="inlineStr">
        <is>
          <t>%/mois</t>
        </is>
      </c>
      <c r="D59" s="152">
        <f>B59*Scenarios!$E$5</f>
        <v/>
      </c>
      <c r="E59" s="149" t="n"/>
      <c r="F59" s="149" t="n"/>
      <c r="G59" s="149" t="n"/>
      <c r="H59" s="149" t="n"/>
    </row>
    <row r="60" s="143">
      <c r="A60" s="149" t="n"/>
      <c r="B60" s="149" t="n"/>
      <c r="C60" s="149" t="n"/>
      <c r="D60" s="149" t="n"/>
      <c r="E60" s="149" t="n"/>
      <c r="F60" s="149" t="n"/>
      <c r="G60" s="149" t="n"/>
      <c r="H60" s="149" t="n"/>
    </row>
    <row r="61" ht="18" customHeight="1" s="143">
      <c r="A61" s="150" t="inlineStr">
        <is>
          <t>9 · ACQUISITION — BUDGET PUBLICITÉ PAR ANNÉE ET LIEN AVEC LA CROISSANCE (élasticité)</t>
        </is>
      </c>
      <c r="B61" s="150" t="n"/>
      <c r="C61" s="150" t="n"/>
      <c r="D61" s="150" t="n"/>
      <c r="E61" s="150" t="n"/>
      <c r="F61" s="150" t="n"/>
      <c r="G61" s="150" t="n"/>
      <c r="H61" s="150" t="n"/>
    </row>
    <row r="62" s="143">
      <c r="A62" s="162" t="inlineStr">
        <is>
          <t>Libellé</t>
        </is>
      </c>
      <c r="B62" s="162" t="inlineStr">
        <is>
          <t>Valeur base</t>
        </is>
      </c>
      <c r="C62" s="162" t="inlineStr">
        <is>
          <t>Unité</t>
        </is>
      </c>
      <c r="D62" s="162" t="inlineStr">
        <is>
          <t>Valeur scénario</t>
        </is>
      </c>
      <c r="E62" s="162" t="inlineStr">
        <is>
          <t>Note</t>
        </is>
      </c>
      <c r="F62" s="162" t="n"/>
      <c r="G62" s="162" t="n"/>
      <c r="H62" s="162" t="n"/>
    </row>
    <row r="63" s="143">
      <c r="A63" s="163" t="inlineStr">
        <is>
          <t>Budget publicité / acquisition — année 1</t>
        </is>
      </c>
      <c r="B63" s="167" t="n">
        <v>400000</v>
      </c>
      <c r="C63" s="165" t="inlineStr">
        <is>
          <t>Ar/mois</t>
        </is>
      </c>
      <c r="D63" s="176">
        <f>B63</f>
        <v/>
      </c>
      <c r="E63" s="166" t="inlineStr">
        <is>
          <t>Remplace la règle « 6 % du CA » et le plancher cold-start. Saisi par année, non indexé.</t>
        </is>
      </c>
      <c r="F63" s="149" t="n"/>
      <c r="G63" s="149" t="n"/>
      <c r="H63" s="149" t="n"/>
    </row>
    <row r="64" s="143">
      <c r="A64" s="163" t="inlineStr">
        <is>
          <t>Budget publicité / acquisition — année 2</t>
        </is>
      </c>
      <c r="B64" s="167" t="n">
        <v>500000</v>
      </c>
      <c r="C64" s="165" t="inlineStr">
        <is>
          <t>Ar/mois</t>
        </is>
      </c>
      <c r="D64" s="176">
        <f>B64</f>
        <v/>
      </c>
      <c r="E64" s="149" t="n"/>
      <c r="F64" s="149" t="n"/>
      <c r="G64" s="149" t="n"/>
      <c r="H64" s="149" t="n"/>
    </row>
    <row r="65" s="143">
      <c r="A65" s="163" t="inlineStr">
        <is>
          <t>Budget publicité / acquisition — année 3</t>
        </is>
      </c>
      <c r="B65" s="167" t="n">
        <v>600000</v>
      </c>
      <c r="C65" s="165" t="inlineStr">
        <is>
          <t>Ar/mois</t>
        </is>
      </c>
      <c r="D65" s="176">
        <f>B65</f>
        <v/>
      </c>
      <c r="E65" s="149" t="n"/>
      <c r="F65" s="149" t="n"/>
      <c r="G65" s="149" t="n"/>
      <c r="H65" s="149" t="n"/>
    </row>
    <row r="66" s="143">
      <c r="A66" s="163" t="inlineStr">
        <is>
          <t>Budget de référence (celui auquel la table de croissance section 7 est calibrée)</t>
        </is>
      </c>
      <c r="B66" s="167" t="n">
        <v>400000</v>
      </c>
      <c r="C66" s="165" t="inlineStr">
        <is>
          <t>Ar/mois</t>
        </is>
      </c>
      <c r="D66" s="176">
        <f>B66</f>
        <v/>
      </c>
      <c r="E66" s="149" t="n"/>
      <c r="F66" s="149" t="n"/>
      <c r="G66" s="149" t="n"/>
      <c r="H66" s="149" t="n"/>
    </row>
    <row r="67" s="143">
      <c r="A67" s="163" t="inlineStr">
        <is>
          <t>Élasticité de la croissance au budget (croissance × (budget M-1 / référence)^élasticité)</t>
        </is>
      </c>
      <c r="B67" s="178" t="n">
        <v>0.5</v>
      </c>
      <c r="C67" s="165" t="inlineStr">
        <is>
          <t>coef.</t>
        </is>
      </c>
      <c r="D67" s="179">
        <f>B67</f>
        <v/>
      </c>
      <c r="E67" s="166" t="inlineStr">
        <is>
          <t>0,5 = rendements décroissants : doubler le budget augmente la croissance de 41 %. Budget du mois précédent (pas de circularité).</t>
        </is>
      </c>
      <c r="F67" s="149" t="n"/>
      <c r="G67" s="149" t="n"/>
      <c r="H67" s="149" t="n"/>
    </row>
    <row r="68" s="143">
      <c r="A68" s="163" t="inlineStr">
        <is>
          <t>Borne basse du multiplicateur de croissance</t>
        </is>
      </c>
      <c r="B68" s="178" t="n">
        <v>0.5</v>
      </c>
      <c r="C68" s="165" t="inlineStr">
        <is>
          <t>coef.</t>
        </is>
      </c>
      <c r="D68" s="179">
        <f>B68</f>
        <v/>
      </c>
      <c r="E68" s="149" t="n"/>
      <c r="F68" s="149" t="n"/>
      <c r="G68" s="149" t="n"/>
      <c r="H68" s="149" t="n"/>
    </row>
    <row r="69" s="143">
      <c r="A69" s="163" t="inlineStr">
        <is>
          <t>Borne haute du multiplicateur de croissance</t>
        </is>
      </c>
      <c r="B69" s="178" t="n">
        <v>1.5</v>
      </c>
      <c r="C69" s="165" t="inlineStr">
        <is>
          <t>coef.</t>
        </is>
      </c>
      <c r="D69" s="179">
        <f>B69</f>
        <v/>
      </c>
      <c r="E69" s="149" t="n"/>
      <c r="F69" s="149" t="n"/>
      <c r="G69" s="149" t="n"/>
      <c r="H69" s="149" t="n"/>
    </row>
    <row r="70" s="143">
      <c r="A70" s="163" t="inlineStr">
        <is>
          <t>Part de l'accompagnement marketing (OPEX) dédiée à l'acquisition (CAC)</t>
        </is>
      </c>
      <c r="B70" s="169" t="n">
        <v>0.8</v>
      </c>
      <c r="C70" s="165" t="inlineStr">
        <is>
          <t>%</t>
        </is>
      </c>
      <c r="D70" s="170">
        <f>B70</f>
        <v/>
      </c>
      <c r="E70" s="149" t="n"/>
      <c r="F70" s="149" t="n"/>
      <c r="G70" s="149" t="n"/>
      <c r="H70" s="149" t="n"/>
    </row>
    <row r="71" s="143">
      <c r="A71" s="163" t="inlineStr">
        <is>
          <t>Part du temps fondateur dédié à l'acquisition (valorisée dans le CAC)</t>
        </is>
      </c>
      <c r="B71" s="169" t="n">
        <v>0.3</v>
      </c>
      <c r="C71" s="165" t="inlineStr">
        <is>
          <t>%</t>
        </is>
      </c>
      <c r="D71" s="170">
        <f>B71</f>
        <v/>
      </c>
      <c r="E71" s="149" t="n"/>
      <c r="F71" s="149" t="n"/>
      <c r="G71" s="149" t="n"/>
      <c r="H71" s="149" t="n"/>
    </row>
    <row r="72" s="143">
      <c r="A72" s="163" t="inlineStr">
        <is>
          <t>Part des transactions réalisées issues de nouveaux clients (demande)</t>
        </is>
      </c>
      <c r="B72" s="169" t="n">
        <v>0.15</v>
      </c>
      <c r="C72" s="165" t="inlineStr">
        <is>
          <t>%</t>
        </is>
      </c>
      <c r="D72" s="170">
        <f>B72</f>
        <v/>
      </c>
      <c r="E72" s="166" t="inlineStr">
        <is>
          <t>Hypothèse à valider avec les données d'usage.</t>
        </is>
      </c>
      <c r="F72" s="149" t="n"/>
      <c r="G72" s="149" t="n"/>
      <c r="H72" s="149" t="n"/>
    </row>
    <row r="73" s="143">
      <c r="A73" s="163" t="inlineStr">
        <is>
          <t>Nombre moyen de transactions par nouveau client (par mois)</t>
        </is>
      </c>
      <c r="B73" s="178" t="n">
        <v>1</v>
      </c>
      <c r="C73" s="165" t="inlineStr">
        <is>
          <t>transactions/client/mois</t>
        </is>
      </c>
      <c r="D73" s="179">
        <f>B73</f>
        <v/>
      </c>
      <c r="E73" s="149" t="n"/>
      <c r="F73" s="149" t="n"/>
      <c r="G73" s="149" t="n"/>
      <c r="H73" s="149" t="n"/>
    </row>
    <row r="74" s="143">
      <c r="A74" s="163" t="inlineStr">
        <is>
          <t>Durée de vie moyenne d'un client transactionnel (mois)</t>
        </is>
      </c>
      <c r="B74" s="180" t="n">
        <v>2</v>
      </c>
      <c r="C74" s="165" t="inlineStr">
        <is>
          <t>mois</t>
        </is>
      </c>
      <c r="D74" s="181">
        <f>B74</f>
        <v/>
      </c>
      <c r="E74" s="166" t="inlineStr">
        <is>
          <t>Clients ponctuels de la marketplace, moins engagés qu'un abonnement.</t>
        </is>
      </c>
      <c r="F74" s="149" t="n"/>
      <c r="G74" s="149" t="n"/>
      <c r="H74" s="149" t="n"/>
    </row>
    <row r="75" s="143">
      <c r="A75" s="163" t="inlineStr">
        <is>
          <t>Part du budget d'acquisition allouée à la DEMANDE</t>
        </is>
      </c>
      <c r="B75" s="169" t="n">
        <v>0.7</v>
      </c>
      <c r="C75" s="165" t="inlineStr">
        <is>
          <t>%</t>
        </is>
      </c>
      <c r="D75" s="170">
        <f>B75</f>
        <v/>
      </c>
      <c r="E75" s="149" t="n"/>
      <c r="F75" s="149" t="n"/>
      <c r="G75" s="149" t="n"/>
      <c r="H75" s="149" t="n"/>
    </row>
    <row r="76" s="143">
      <c r="A76" s="163" t="inlineStr">
        <is>
          <t>Part du budget d'acquisition allouée à l'OFFRE</t>
        </is>
      </c>
      <c r="B76" s="169" t="n">
        <v>0.3</v>
      </c>
      <c r="C76" s="165" t="inlineStr">
        <is>
          <t>%</t>
        </is>
      </c>
      <c r="D76" s="170">
        <f>B76</f>
        <v/>
      </c>
      <c r="E76" s="166" t="inlineStr">
        <is>
          <t>Standard marketplace : acquérir la demande coûte plus cher.</t>
        </is>
      </c>
      <c r="F76" s="149" t="n"/>
      <c r="G76" s="149" t="n"/>
      <c r="H76" s="149" t="n"/>
    </row>
    <row r="77" s="143">
      <c r="A77" s="171" t="inlineStr">
        <is>
          <t>Contrôle split (doit = 100 %)</t>
        </is>
      </c>
      <c r="B77" s="172" t="n"/>
      <c r="C77" s="173" t="inlineStr">
        <is>
          <t>%</t>
        </is>
      </c>
      <c r="D77" s="175">
        <f>$D$75+$D$76</f>
        <v/>
      </c>
      <c r="E77" s="172" t="n"/>
      <c r="F77" s="172" t="n"/>
      <c r="G77" s="172" t="n"/>
      <c r="H77" s="172" t="n"/>
    </row>
    <row r="78" s="143">
      <c r="A78" s="149" t="n"/>
      <c r="B78" s="149" t="n"/>
      <c r="C78" s="149" t="n"/>
      <c r="D78" s="149" t="n"/>
      <c r="E78" s="149" t="n"/>
      <c r="F78" s="149" t="n"/>
      <c r="G78" s="149" t="n"/>
      <c r="H78" s="149" t="n"/>
    </row>
    <row r="79" ht="18" customHeight="1" s="143">
      <c r="A79" s="150" t="inlineStr">
        <is>
          <t>10 · OFFRE — PRESTATAIRES, LOUEURS, ANNONCES (onboarding, churn, capacité CONTRAIGNANTE)</t>
        </is>
      </c>
      <c r="B79" s="150" t="n"/>
      <c r="C79" s="150" t="n"/>
      <c r="D79" s="150" t="n"/>
      <c r="E79" s="150" t="n"/>
      <c r="F79" s="150" t="n"/>
      <c r="G79" s="150" t="n"/>
      <c r="H79" s="150" t="n"/>
    </row>
    <row r="80" s="143">
      <c r="A80" s="162" t="inlineStr">
        <is>
          <t>Libellé</t>
        </is>
      </c>
      <c r="B80" s="162" t="inlineStr">
        <is>
          <t>Valeur base</t>
        </is>
      </c>
      <c r="C80" s="162" t="inlineStr">
        <is>
          <t>Unité</t>
        </is>
      </c>
      <c r="D80" s="162" t="inlineStr">
        <is>
          <t>Valeur scénario</t>
        </is>
      </c>
      <c r="E80" s="162" t="inlineStr">
        <is>
          <t>Note</t>
        </is>
      </c>
      <c r="F80" s="162" t="n"/>
      <c r="G80" s="162" t="n"/>
      <c r="H80" s="162" t="n"/>
    </row>
    <row r="81" s="143">
      <c r="A81" s="163" t="inlineStr">
        <is>
          <t>Prestataires Ampio actifs au mois 1</t>
        </is>
      </c>
      <c r="B81" s="164" t="n">
        <v>25</v>
      </c>
      <c r="C81" s="165" t="inlineStr">
        <is>
          <t>prestataires</t>
        </is>
      </c>
      <c r="D81" s="158">
        <f>B81*Scenarios!$E$4</f>
        <v/>
      </c>
      <c r="E81" s="149" t="n"/>
      <c r="F81" s="149" t="n"/>
      <c r="G81" s="149" t="n"/>
      <c r="H81" s="149" t="n"/>
    </row>
    <row r="82" s="143">
      <c r="A82" s="163" t="inlineStr">
        <is>
          <t>Prestataires onboardés par mois — sans collab 2</t>
        </is>
      </c>
      <c r="B82" s="182" t="n">
        <v>3</v>
      </c>
      <c r="C82" s="165" t="inlineStr">
        <is>
          <t>prestataires/mois</t>
        </is>
      </c>
      <c r="D82" s="155">
        <f>B82*Scenarios!$E$5</f>
        <v/>
      </c>
      <c r="E82" s="166" t="inlineStr">
        <is>
          <t>Capacité d'onboarding du fondateur + collab 1.</t>
        </is>
      </c>
      <c r="F82" s="149" t="n"/>
      <c r="G82" s="149" t="n"/>
      <c r="H82" s="149" t="n"/>
    </row>
    <row r="83" s="143">
      <c r="A83" s="163" t="inlineStr">
        <is>
          <t>Prestataires onboardés par mois — avec collab 2</t>
        </is>
      </c>
      <c r="B83" s="182" t="n">
        <v>8</v>
      </c>
      <c r="C83" s="165" t="inlineStr">
        <is>
          <t>prestataires/mois</t>
        </is>
      </c>
      <c r="D83" s="155">
        <f>B83*Scenarios!$E$5</f>
        <v/>
      </c>
      <c r="E83" s="166" t="inlineStr">
        <is>
          <t>Le collab 2 est dédié au support / onboarding.</t>
        </is>
      </c>
      <c r="F83" s="149" t="n"/>
      <c r="G83" s="149" t="n"/>
      <c r="H83" s="149" t="n"/>
    </row>
    <row r="84" s="143">
      <c r="A84" s="163" t="inlineStr">
        <is>
          <t>Churn mensuel des prestataires</t>
        </is>
      </c>
      <c r="B84" s="169" t="n">
        <v>0.03</v>
      </c>
      <c r="C84" s="165" t="inlineStr">
        <is>
          <t>%/mois</t>
        </is>
      </c>
      <c r="D84" s="152">
        <f>MIN(1,B84*Scenarios!$E$7)</f>
        <v/>
      </c>
      <c r="E84" s="149" t="n"/>
      <c r="F84" s="149" t="n"/>
      <c r="G84" s="149" t="n"/>
      <c r="H84" s="149" t="n"/>
    </row>
    <row r="85" s="143">
      <c r="A85" s="163" t="inlineStr">
        <is>
          <t>Prestations max par prestataire et par mois</t>
        </is>
      </c>
      <c r="B85" s="164" t="n">
        <v>8</v>
      </c>
      <c r="C85" s="165" t="inlineStr">
        <is>
          <t>jobs/pers/mois</t>
        </is>
      </c>
      <c r="D85" s="183">
        <f>B85</f>
        <v/>
      </c>
      <c r="E85" s="149" t="n"/>
      <c r="F85" s="149" t="n"/>
      <c r="G85" s="149" t="n"/>
      <c r="H85" s="149" t="n"/>
    </row>
    <row r="86" s="143">
      <c r="A86" s="163" t="inlineStr">
        <is>
          <t>Loueurs pro actifs au mois 1</t>
        </is>
      </c>
      <c r="B86" s="184" t="n">
        <v>8</v>
      </c>
      <c r="C86" s="165" t="inlineStr">
        <is>
          <t>loueurs</t>
        </is>
      </c>
      <c r="D86" s="158">
        <f>B86*Scenarios!$E$4</f>
        <v/>
      </c>
      <c r="E86" s="149" t="n"/>
      <c r="F86" s="149" t="n"/>
      <c r="G86" s="149" t="n"/>
      <c r="H86" s="149" t="n"/>
    </row>
    <row r="87" s="143">
      <c r="A87" s="163" t="inlineStr">
        <is>
          <t>Loueurs pro onboardés par mois — sans collab 2</t>
        </is>
      </c>
      <c r="B87" s="182" t="n">
        <v>1</v>
      </c>
      <c r="C87" s="165" t="inlineStr">
        <is>
          <t>loueurs/mois</t>
        </is>
      </c>
      <c r="D87" s="155">
        <f>B87*Scenarios!$E$5</f>
        <v/>
      </c>
      <c r="E87" s="149" t="n"/>
      <c r="F87" s="149" t="n"/>
      <c r="G87" s="149" t="n"/>
      <c r="H87" s="149" t="n"/>
    </row>
    <row r="88" s="143">
      <c r="A88" s="163" t="inlineStr">
        <is>
          <t>Loueurs pro onboardés par mois — avec collab 2</t>
        </is>
      </c>
      <c r="B88" s="182" t="n">
        <v>2</v>
      </c>
      <c r="C88" s="165" t="inlineStr">
        <is>
          <t>loueurs/mois</t>
        </is>
      </c>
      <c r="D88" s="155">
        <f>B88*Scenarios!$E$5</f>
        <v/>
      </c>
      <c r="E88" s="149" t="n"/>
      <c r="F88" s="149" t="n"/>
      <c r="G88" s="149" t="n"/>
      <c r="H88" s="149" t="n"/>
    </row>
    <row r="89" s="143">
      <c r="A89" s="163" t="inlineStr">
        <is>
          <t>Churn mensuel des loueurs pro</t>
        </is>
      </c>
      <c r="B89" s="169" t="n">
        <v>0.02</v>
      </c>
      <c r="C89" s="165" t="inlineStr">
        <is>
          <t>%/mois</t>
        </is>
      </c>
      <c r="D89" s="152">
        <f>MIN(1,B89*Scenarios!$E$7)</f>
        <v/>
      </c>
      <c r="E89" s="149" t="n"/>
      <c r="F89" s="149" t="n"/>
      <c r="G89" s="149" t="n"/>
      <c r="H89" s="149" t="n"/>
    </row>
    <row r="90" s="143">
      <c r="A90" s="163" t="inlineStr">
        <is>
          <t>Locations max par loueur et par mois</t>
        </is>
      </c>
      <c r="B90" s="164" t="n">
        <v>4</v>
      </c>
      <c r="C90" s="165" t="inlineStr">
        <is>
          <t>loc/mois</t>
        </is>
      </c>
      <c r="D90" s="183">
        <f>B90</f>
        <v/>
      </c>
      <c r="E90" s="149" t="n"/>
      <c r="F90" s="149" t="n"/>
      <c r="G90" s="149" t="n"/>
      <c r="H90" s="149" t="n"/>
    </row>
    <row r="91" s="143">
      <c r="A91" s="163" t="inlineStr">
        <is>
          <t>Annonces C2C actives au mois 1</t>
        </is>
      </c>
      <c r="B91" s="164" t="n">
        <v>15</v>
      </c>
      <c r="C91" s="165" t="inlineStr">
        <is>
          <t>annonces</t>
        </is>
      </c>
      <c r="D91" s="158">
        <f>B91*Scenarios!$E$4</f>
        <v/>
      </c>
      <c r="E91" s="149" t="n"/>
      <c r="F91" s="149" t="n"/>
      <c r="G91" s="149" t="n"/>
      <c r="H91" s="149" t="n"/>
    </row>
    <row r="92" s="143">
      <c r="A92" s="163" t="inlineStr">
        <is>
          <t>Nouvelles annonces C2C par mois</t>
        </is>
      </c>
      <c r="B92" s="182" t="n">
        <v>2</v>
      </c>
      <c r="C92" s="165" t="inlineStr">
        <is>
          <t>annonces/mois</t>
        </is>
      </c>
      <c r="D92" s="155">
        <f>B92*Scenarios!$E$5</f>
        <v/>
      </c>
      <c r="E92" s="166" t="inlineStr">
        <is>
          <t>Non lié au collab 2 (peu d'onboarding).</t>
        </is>
      </c>
      <c r="F92" s="149" t="n"/>
      <c r="G92" s="149" t="n"/>
      <c r="H92" s="149" t="n"/>
    </row>
    <row r="93" s="143">
      <c r="A93" s="163" t="inlineStr">
        <is>
          <t>Churn mensuel des annonces C2C</t>
        </is>
      </c>
      <c r="B93" s="169" t="n">
        <v>0.05</v>
      </c>
      <c r="C93" s="165" t="inlineStr">
        <is>
          <t>%/mois</t>
        </is>
      </c>
      <c r="D93" s="152">
        <f>MIN(1,B93*Scenarios!$E$7)</f>
        <v/>
      </c>
      <c r="E93" s="149" t="n"/>
      <c r="F93" s="149" t="n"/>
      <c r="G93" s="149" t="n"/>
      <c r="H93" s="149" t="n"/>
    </row>
    <row r="94" s="143">
      <c r="A94" s="163" t="inlineStr">
        <is>
          <t>Locations max par annonce et par mois</t>
        </is>
      </c>
      <c r="B94" s="164" t="n">
        <v>1</v>
      </c>
      <c r="C94" s="165" t="inlineStr">
        <is>
          <t>loc/mois</t>
        </is>
      </c>
      <c r="D94" s="183">
        <f>B94</f>
        <v/>
      </c>
      <c r="E94" s="149" t="n"/>
      <c r="F94" s="149" t="n"/>
      <c r="G94" s="149" t="n"/>
      <c r="H94" s="149" t="n"/>
    </row>
    <row r="95" s="143">
      <c r="A95" s="163" t="inlineStr">
        <is>
          <t>Taux d'utilisation maximal de la capacité (fill rate max)</t>
        </is>
      </c>
      <c r="B95" s="169" t="n">
        <v>0.8</v>
      </c>
      <c r="C95" s="165" t="inlineStr">
        <is>
          <t>%</t>
        </is>
      </c>
      <c r="D95" s="170">
        <f>B95</f>
        <v/>
      </c>
      <c r="E95" s="166" t="inlineStr">
        <is>
          <t>Volumes réalisés = MIN(demande, offre × max × fill max). Remplace la rampe de fill rate saisie et les KPI de liquidité tautologiques.</t>
        </is>
      </c>
      <c r="F95" s="149" t="n"/>
      <c r="G95" s="149" t="n"/>
      <c r="H95" s="149" t="n"/>
    </row>
    <row r="96" s="143">
      <c r="A96" s="149" t="n"/>
      <c r="B96" s="149" t="n"/>
      <c r="C96" s="149" t="n"/>
      <c r="D96" s="149" t="n"/>
      <c r="E96" s="149" t="n"/>
      <c r="F96" s="149" t="n"/>
      <c r="G96" s="149" t="n"/>
      <c r="H96" s="149" t="n"/>
    </row>
    <row r="97" ht="18" customHeight="1" s="143">
      <c r="A97" s="150" t="inlineStr">
        <is>
          <t>11 · LANCEMENT (M1–M6) — subvention d'offre sur les prestations</t>
        </is>
      </c>
      <c r="B97" s="150" t="n"/>
      <c r="C97" s="150" t="n"/>
      <c r="D97" s="150" t="n"/>
      <c r="E97" s="150" t="n"/>
      <c r="F97" s="150" t="n"/>
      <c r="G97" s="150" t="n"/>
      <c r="H97" s="150" t="n"/>
    </row>
    <row r="98" s="143">
      <c r="A98" s="162" t="inlineStr">
        <is>
          <t>Libellé</t>
        </is>
      </c>
      <c r="B98" s="162" t="inlineStr">
        <is>
          <t>Valeur base</t>
        </is>
      </c>
      <c r="C98" s="162" t="inlineStr">
        <is>
          <t>Unité</t>
        </is>
      </c>
      <c r="D98" s="162" t="inlineStr">
        <is>
          <t>Valeur scénario</t>
        </is>
      </c>
      <c r="E98" s="162" t="inlineStr">
        <is>
          <t>Note</t>
        </is>
      </c>
      <c r="F98" s="162" t="n"/>
      <c r="G98" s="162" t="n"/>
      <c r="H98" s="162" t="n"/>
    </row>
    <row r="99" s="143">
      <c r="A99" s="163" t="inlineStr">
        <is>
          <t>Durée de la phase de lancement</t>
        </is>
      </c>
      <c r="B99" s="180" t="n">
        <v>6</v>
      </c>
      <c r="C99" s="165" t="inlineStr">
        <is>
          <t>mois</t>
        </is>
      </c>
      <c r="D99" s="181">
        <f>B99</f>
        <v/>
      </c>
      <c r="E99" s="149" t="n"/>
      <c r="F99" s="149" t="n"/>
      <c r="G99" s="149" t="n"/>
      <c r="H99" s="149" t="n"/>
    </row>
    <row r="100" s="143">
      <c r="A100" s="163" t="inlineStr">
        <is>
          <t>Réduction du take rate Ampio pendant le lancement</t>
        </is>
      </c>
      <c r="B100" s="185" t="n">
        <v>0.02</v>
      </c>
      <c r="C100" s="165" t="inlineStr">
        <is>
          <t>% (0,02 = 2 points)</t>
        </is>
      </c>
      <c r="D100" s="186">
        <f>B100</f>
        <v/>
      </c>
      <c r="E100" s="166" t="inlineStr">
        <is>
          <t>Corrigé : était saisi « 2 » (200 points), ce qui annulait tout le CA commissions M1–M6. Mix 13,25 % → 11,25 %.</t>
        </is>
      </c>
      <c r="F100" s="149" t="n"/>
      <c r="G100" s="149" t="n"/>
      <c r="H100" s="149" t="n"/>
    </row>
    <row r="101" s="143">
      <c r="A101" s="149" t="n"/>
      <c r="B101" s="149" t="n"/>
      <c r="C101" s="149" t="n"/>
      <c r="D101" s="149" t="n"/>
      <c r="E101" s="149" t="n"/>
      <c r="F101" s="149" t="n"/>
      <c r="G101" s="149" t="n"/>
      <c r="H101" s="149" t="n"/>
    </row>
    <row r="102" ht="18" customHeight="1" s="143">
      <c r="A102" s="150" t="inlineStr">
        <is>
          <t>12 · COÛTS VARIABLES — COGS ET COÛTS OPÉRATIONNELS LIÉS AU VOLUME</t>
        </is>
      </c>
      <c r="B102" s="150" t="n"/>
      <c r="C102" s="150" t="n"/>
      <c r="D102" s="150" t="n"/>
      <c r="E102" s="150" t="n"/>
      <c r="F102" s="150" t="n"/>
      <c r="G102" s="150" t="n"/>
      <c r="H102" s="150" t="n"/>
    </row>
    <row r="103" s="143">
      <c r="A103" s="162" t="inlineStr">
        <is>
          <t>Libellé</t>
        </is>
      </c>
      <c r="B103" s="162" t="inlineStr">
        <is>
          <t>Valeur base</t>
        </is>
      </c>
      <c r="C103" s="162" t="inlineStr">
        <is>
          <t>Unité</t>
        </is>
      </c>
      <c r="D103" s="162" t="inlineStr">
        <is>
          <t>Valeur scénario</t>
        </is>
      </c>
      <c r="E103" s="162" t="inlineStr">
        <is>
          <t>Note</t>
        </is>
      </c>
      <c r="F103" s="162" t="n"/>
      <c r="G103" s="162" t="n"/>
      <c r="H103" s="162" t="n"/>
    </row>
    <row r="104" s="143">
      <c r="A104" s="163" t="inlineStr">
        <is>
          <t>SMS de notification (2 × 35,71 Ar) — prestations Ampio + locations C2C</t>
        </is>
      </c>
      <c r="B104" s="187" t="n">
        <v>71.42</v>
      </c>
      <c r="C104" s="165" t="inlineStr">
        <is>
          <t>Ar/transaction</t>
        </is>
      </c>
      <c r="D104" s="188">
        <f>B104</f>
        <v/>
      </c>
      <c r="E104" s="149" t="n"/>
      <c r="F104" s="149" t="n"/>
      <c r="G104" s="149" t="n"/>
      <c r="H104" s="149" t="n"/>
    </row>
    <row r="105" s="143">
      <c r="A105" s="163" t="inlineStr">
        <is>
          <t>Commission Mobile Money par transaction</t>
        </is>
      </c>
      <c r="B105" s="169" t="n">
        <v>0.03</v>
      </c>
      <c r="C105" s="165" t="inlineStr">
        <is>
          <t>%</t>
        </is>
      </c>
      <c r="D105" s="170">
        <f>B105</f>
        <v/>
      </c>
      <c r="E105" s="166" t="inlineStr">
        <is>
          <t>3 % du montant brut : CA abonnements Ampio+, GMV prestations, GMV locations pro et C2C. Exclut le service vidéo (paiement B2B).</t>
        </is>
      </c>
      <c r="F105" s="149" t="n"/>
      <c r="G105" s="149" t="n"/>
      <c r="H105" s="149" t="n"/>
    </row>
    <row r="106" s="143">
      <c r="A106" s="163" t="inlineStr">
        <is>
          <t>Support / modération par transaction (Ampio + loc pro + C2C)</t>
        </is>
      </c>
      <c r="B106" s="167" t="n">
        <v>1000</v>
      </c>
      <c r="C106" s="165" t="inlineStr">
        <is>
          <t>Ar/transaction</t>
        </is>
      </c>
      <c r="D106" s="168">
        <f>B106*Scenarios!$E$8*(1+IF($B$158=1,$B$161,0))</f>
        <v/>
      </c>
      <c r="E106" s="149" t="n"/>
      <c r="F106" s="149" t="n"/>
      <c r="G106" s="149" t="n"/>
      <c r="H106" s="149" t="n"/>
    </row>
    <row r="107" s="143">
      <c r="A107" s="163" t="inlineStr">
        <is>
          <t>Vérification / onboarding d'un nouveau client (prestataire, loueur, client vidéo, client demande)</t>
        </is>
      </c>
      <c r="B107" s="167" t="n">
        <v>3000</v>
      </c>
      <c r="C107" s="165" t="inlineStr">
        <is>
          <t>Ar/nouveau</t>
        </is>
      </c>
      <c r="D107" s="168">
        <f>B107*Scenarios!$E$8*(1+IF($B$158=1,$B$161,0))</f>
        <v/>
      </c>
      <c r="E107" s="149" t="n"/>
      <c r="F107" s="149" t="n"/>
      <c r="G107" s="149" t="n"/>
      <c r="H107" s="149" t="n"/>
    </row>
    <row r="108" s="143">
      <c r="A108" s="163" t="inlineStr">
        <is>
          <t>Provision remboursements / litiges</t>
        </is>
      </c>
      <c r="B108" s="169" t="n">
        <v>0.01</v>
      </c>
      <c r="C108" s="165" t="inlineStr">
        <is>
          <t>% du GMV</t>
        </is>
      </c>
      <c r="D108" s="152">
        <f>B108*Scenarios!$E$8*(1+IF($B$158=1,$B$161,0))</f>
        <v/>
      </c>
      <c r="E108" s="149" t="n"/>
      <c r="F108" s="149" t="n"/>
      <c r="G108" s="149" t="n"/>
      <c r="H108" s="149" t="n"/>
    </row>
    <row r="109" s="143">
      <c r="A109" s="149" t="n"/>
      <c r="B109" s="149" t="n"/>
      <c r="C109" s="149" t="n"/>
      <c r="D109" s="149" t="n"/>
      <c r="E109" s="149" t="n"/>
      <c r="F109" s="149" t="n"/>
      <c r="G109" s="149" t="n"/>
      <c r="H109" s="149" t="n"/>
    </row>
    <row r="110" ht="18" customHeight="1" s="143">
      <c r="A110" s="150" t="inlineStr">
        <is>
          <t>13 · OPEX MENSUEL (charges fixes, année 1)</t>
        </is>
      </c>
      <c r="B110" s="150" t="n"/>
      <c r="C110" s="150" t="n"/>
      <c r="D110" s="150" t="n"/>
      <c r="E110" s="150" t="n"/>
      <c r="F110" s="150" t="n"/>
      <c r="G110" s="150" t="n"/>
      <c r="H110" s="150" t="n"/>
    </row>
    <row r="111" s="143">
      <c r="A111" s="162" t="inlineStr">
        <is>
          <t>Libellé</t>
        </is>
      </c>
      <c r="B111" s="162" t="inlineStr">
        <is>
          <t>Valeur base</t>
        </is>
      </c>
      <c r="C111" s="162" t="inlineStr">
        <is>
          <t>Unité</t>
        </is>
      </c>
      <c r="D111" s="162" t="inlineStr">
        <is>
          <t>Valeur scénario</t>
        </is>
      </c>
      <c r="E111" s="162" t="inlineStr">
        <is>
          <t>Note</t>
        </is>
      </c>
      <c r="F111" s="162" t="n"/>
      <c r="G111" s="162" t="n"/>
      <c r="H111" s="162" t="n"/>
    </row>
    <row r="112" s="143">
      <c r="A112" s="163" t="inlineStr">
        <is>
          <t>Loyer et domiciliation</t>
        </is>
      </c>
      <c r="B112" s="167" t="n">
        <v>125000</v>
      </c>
      <c r="C112" s="165" t="inlineStr">
        <is>
          <t>Ar/mois</t>
        </is>
      </c>
      <c r="D112" s="168">
        <f>B112*Scenarios!$E$8*(1+IF($B$158=1,$B$161,0))</f>
        <v/>
      </c>
      <c r="E112" s="166" t="inlineStr">
        <is>
          <t>Wezara</t>
        </is>
      </c>
      <c r="F112" s="149" t="n"/>
      <c r="G112" s="149" t="n"/>
      <c r="H112" s="149" t="n"/>
    </row>
    <row r="113" s="143">
      <c r="A113" s="163" t="inlineStr">
        <is>
          <t>Salaire brut fondateur</t>
        </is>
      </c>
      <c r="B113" s="167" t="n">
        <v>800000</v>
      </c>
      <c r="C113" s="165" t="inlineStr">
        <is>
          <t>Ar/mois</t>
        </is>
      </c>
      <c r="D113" s="168">
        <f>B113*Scenarios!$E$8*(1+IF($B$158=1,$B$161,0))</f>
        <v/>
      </c>
      <c r="E113" s="149" t="n"/>
      <c r="F113" s="149" t="n"/>
      <c r="G113" s="149" t="n"/>
      <c r="H113" s="149" t="n"/>
    </row>
    <row r="114" s="143">
      <c r="A114" s="163" t="inlineStr">
        <is>
          <t>Salaire brut collaborateur 1</t>
        </is>
      </c>
      <c r="B114" s="167" t="n">
        <v>1000000</v>
      </c>
      <c r="C114" s="165" t="inlineStr">
        <is>
          <t>Ar/mois</t>
        </is>
      </c>
      <c r="D114" s="168">
        <f>B114*Scenarios!$E$8*(1+IF($B$158=1,$B$161,0))</f>
        <v/>
      </c>
      <c r="E114" s="149" t="n"/>
      <c r="F114" s="149" t="n"/>
      <c r="G114" s="149" t="n"/>
      <c r="H114" s="149" t="n"/>
    </row>
    <row r="115" s="143">
      <c r="A115" s="163" t="inlineStr">
        <is>
          <t>Taux de charges patronales (CNaPS 13 % + organisation sanitaire 5 %)</t>
        </is>
      </c>
      <c r="B115" s="169" t="n">
        <v>0.18</v>
      </c>
      <c r="C115" s="165" t="inlineStr">
        <is>
          <t>% des salaires bruts</t>
        </is>
      </c>
      <c r="D115" s="170">
        <f>B115</f>
        <v/>
      </c>
      <c r="E115" s="166" t="inlineStr">
        <is>
          <t>Appliqué à tous les salaires (fondateur, collab 1, collab 2).</t>
        </is>
      </c>
      <c r="F115" s="149" t="n"/>
      <c r="G115" s="149" t="n"/>
      <c r="H115" s="149" t="n"/>
    </row>
    <row r="116" s="143">
      <c r="A116" s="171" t="inlineStr">
        <is>
          <t>Charges patronales fondateur + collab 1 (calculé)</t>
        </is>
      </c>
      <c r="B116" s="172" t="n"/>
      <c r="C116" s="173" t="inlineStr">
        <is>
          <t>Ar/mois</t>
        </is>
      </c>
      <c r="D116" s="189">
        <f>$D$115*($D$113+$D$114)</f>
        <v/>
      </c>
      <c r="E116" s="172" t="n"/>
      <c r="F116" s="172" t="n"/>
      <c r="G116" s="172" t="n"/>
      <c r="H116" s="172" t="n"/>
    </row>
    <row r="117" s="143">
      <c r="A117" s="163" t="inlineStr">
        <is>
          <t>Hébergement web</t>
        </is>
      </c>
      <c r="B117" s="167" t="n">
        <v>16583</v>
      </c>
      <c r="C117" s="165" t="inlineStr">
        <is>
          <t>Ar/mois</t>
        </is>
      </c>
      <c r="D117" s="168">
        <f>B117*Scenarios!$E$8*(1+IF($B$158=1,$B$161,0))</f>
        <v/>
      </c>
      <c r="E117" s="166" t="inlineStr">
        <is>
          <t>Simafri</t>
        </is>
      </c>
      <c r="F117" s="149" t="n"/>
      <c r="G117" s="149" t="n"/>
      <c r="H117" s="149" t="n"/>
    </row>
    <row r="118" s="143">
      <c r="A118" s="163" t="inlineStr">
        <is>
          <t>Object Storage</t>
        </is>
      </c>
      <c r="B118" s="167" t="n">
        <v>30000</v>
      </c>
      <c r="C118" s="165" t="inlineStr">
        <is>
          <t>Ar/mois</t>
        </is>
      </c>
      <c r="D118" s="168">
        <f>B118*Scenarios!$E$8*(1+IF($B$158=1,$B$161,0))</f>
        <v/>
      </c>
      <c r="E118" s="166" t="inlineStr">
        <is>
          <t>Cloudflare R2</t>
        </is>
      </c>
      <c r="F118" s="149" t="n"/>
      <c r="G118" s="149" t="n"/>
      <c r="H118" s="149" t="n"/>
    </row>
    <row r="119" s="143">
      <c r="A119" s="163" t="inlineStr">
        <is>
          <t>Modération</t>
        </is>
      </c>
      <c r="B119" s="167" t="n">
        <v>10000</v>
      </c>
      <c r="C119" s="165" t="inlineStr">
        <is>
          <t>Ar/mois</t>
        </is>
      </c>
      <c r="D119" s="168">
        <f>B119*Scenarios!$E$8*(1+IF($B$158=1,$B$161,0))</f>
        <v/>
      </c>
      <c r="E119" s="166" t="inlineStr">
        <is>
          <t>Crédit data</t>
        </is>
      </c>
      <c r="F119" s="149" t="n"/>
      <c r="G119" s="149" t="n"/>
      <c r="H119" s="149" t="n"/>
    </row>
    <row r="120" s="143">
      <c r="A120" s="163" t="inlineStr">
        <is>
          <t>Marketing — accompagnement (fixe, hors budget publicité section 9)</t>
        </is>
      </c>
      <c r="B120" s="190" t="n">
        <v>100000</v>
      </c>
      <c r="C120" s="165" t="inlineStr">
        <is>
          <t>Ar/mois</t>
        </is>
      </c>
      <c r="D120" s="191">
        <f>B120*Scenarios!$E$8*(1+IF($B$158=1,$B$161,0))</f>
        <v/>
      </c>
      <c r="E120" s="149" t="n"/>
      <c r="F120" s="149" t="n"/>
      <c r="G120" s="149" t="n"/>
      <c r="H120" s="149" t="n"/>
    </row>
    <row r="121" s="143">
      <c r="A121" s="171" t="inlineStr">
        <is>
          <t>TOTAL OPEX mensuel (année 1, charges patronales incluses, hors publicité et collab 2)</t>
        </is>
      </c>
      <c r="B121" s="172" t="n"/>
      <c r="C121" s="173" t="inlineStr">
        <is>
          <t>Ar/mois</t>
        </is>
      </c>
      <c r="D121" s="189">
        <f>$D$112+$D$113+$D$114+$D$116+$D$117+$D$118+$D$119+$D$120</f>
        <v/>
      </c>
      <c r="E121" s="192" t="inlineStr">
        <is>
          <t>Base du besoin de démarrage et de la trésorerie de sécurité (Financement).</t>
        </is>
      </c>
      <c r="F121" s="172" t="n"/>
      <c r="G121" s="172" t="n"/>
      <c r="H121" s="172" t="n"/>
    </row>
    <row r="122" s="143">
      <c r="A122" s="149" t="n"/>
      <c r="B122" s="149" t="n"/>
      <c r="C122" s="149" t="n"/>
      <c r="D122" s="149" t="n"/>
      <c r="E122" s="149" t="n"/>
      <c r="F122" s="149" t="n"/>
      <c r="G122" s="149" t="n"/>
      <c r="H122" s="149" t="n"/>
    </row>
    <row r="123" ht="18" customHeight="1" s="143">
      <c r="A123" s="150" t="inlineStr">
        <is>
          <t>14 · CAPACITÉ D'EXÉCUTION — 2E COLLABORATEUR (embauche + déclencheur de trésorerie)</t>
        </is>
      </c>
      <c r="B123" s="150" t="n"/>
      <c r="C123" s="150" t="n"/>
      <c r="D123" s="150" t="n"/>
      <c r="E123" s="150" t="n"/>
      <c r="F123" s="150" t="n"/>
      <c r="G123" s="150" t="n"/>
      <c r="H123" s="150" t="n"/>
    </row>
    <row r="124" s="143">
      <c r="A124" s="162" t="inlineStr">
        <is>
          <t>Libellé</t>
        </is>
      </c>
      <c r="B124" s="162" t="inlineStr">
        <is>
          <t>Valeur base</t>
        </is>
      </c>
      <c r="C124" s="162" t="inlineStr">
        <is>
          <t>Unité</t>
        </is>
      </c>
      <c r="D124" s="162" t="inlineStr">
        <is>
          <t>Valeur scénario</t>
        </is>
      </c>
      <c r="E124" s="162" t="inlineStr">
        <is>
          <t>Note</t>
        </is>
      </c>
      <c r="F124" s="162" t="n"/>
      <c r="G124" s="162" t="n"/>
      <c r="H124" s="162" t="n"/>
    </row>
    <row r="125" s="143">
      <c r="A125" s="163" t="inlineStr">
        <is>
          <t>Salaire brut mensuel collab 2 (base, avant inflation ; charges patronales ajoutées au P&amp;L)</t>
        </is>
      </c>
      <c r="B125" s="167" t="n">
        <v>400000</v>
      </c>
      <c r="C125" s="165" t="inlineStr">
        <is>
          <t>Ar/mois</t>
        </is>
      </c>
      <c r="D125" s="168">
        <f>B125*Scenarios!$E$8</f>
        <v/>
      </c>
      <c r="E125" s="149" t="n"/>
      <c r="F125" s="149" t="n"/>
      <c r="G125" s="149" t="n"/>
      <c r="H125" s="149" t="n"/>
    </row>
    <row r="126" s="143">
      <c r="A126" s="163" t="inlineStr">
        <is>
          <t>Mois minimum d'embauche</t>
        </is>
      </c>
      <c r="B126" s="180" t="n">
        <v>13</v>
      </c>
      <c r="C126" s="165" t="inlineStr">
        <is>
          <t>n° de mois (1-36)</t>
        </is>
      </c>
      <c r="D126" s="181">
        <f>B126</f>
        <v/>
      </c>
      <c r="E126" s="166" t="inlineStr">
        <is>
          <t>L'embauche réelle = 1er mois ≥ ce mois où trésorerie &gt; plancher ET EBITDA &gt; 0 pendant N mois consécutifs (décalage d'un mois). Poste conservé ensuite.</t>
        </is>
      </c>
      <c r="F126" s="149" t="n"/>
      <c r="G126" s="149" t="n"/>
      <c r="H126" s="149" t="n"/>
    </row>
    <row r="127" s="143">
      <c r="A127" s="163" t="inlineStr">
        <is>
          <t>Plancher de trésorerie exigé pour embaucher (référence section 16)</t>
        </is>
      </c>
      <c r="B127" s="149" t="n"/>
      <c r="C127" s="165" t="inlineStr">
        <is>
          <t>Ar</t>
        </is>
      </c>
      <c r="D127" s="176">
        <f>$D$142</f>
        <v/>
      </c>
      <c r="E127" s="149" t="n"/>
      <c r="F127" s="149" t="n"/>
      <c r="G127" s="149" t="n"/>
      <c r="H127" s="149" t="n"/>
    </row>
    <row r="128" s="143">
      <c r="A128" s="163" t="inlineStr">
        <is>
          <t>Nombre de mois consécutifs exigés</t>
        </is>
      </c>
      <c r="B128" s="180" t="n">
        <v>3</v>
      </c>
      <c r="C128" s="165" t="inlineStr">
        <is>
          <t>mois</t>
        </is>
      </c>
      <c r="D128" s="181">
        <f>B128</f>
        <v/>
      </c>
      <c r="E128" s="149" t="n"/>
      <c r="F128" s="149" t="n"/>
      <c r="G128" s="149" t="n"/>
      <c r="H128" s="149" t="n"/>
    </row>
    <row r="129" s="143">
      <c r="A129" s="163" t="inlineStr">
        <is>
          <t>Exiger aussi EBITDA mensuel &gt; 0 (1 = oui)</t>
        </is>
      </c>
      <c r="B129" s="180" t="n">
        <v>1</v>
      </c>
      <c r="C129" s="165" t="inlineStr">
        <is>
          <t>0/1</t>
        </is>
      </c>
      <c r="D129" s="181">
        <f>B129</f>
        <v/>
      </c>
      <c r="E129" s="166" t="inlineStr">
        <is>
          <t>Les deux conditions portent sur les mois strictement antérieurs.</t>
        </is>
      </c>
      <c r="F129" s="149" t="n"/>
      <c r="G129" s="149" t="n"/>
      <c r="H129" s="149" t="n"/>
    </row>
    <row r="130" s="143">
      <c r="A130" s="149" t="n"/>
      <c r="B130" s="149" t="n"/>
      <c r="C130" s="149" t="n"/>
      <c r="D130" s="149" t="n"/>
      <c r="E130" s="149" t="n"/>
      <c r="F130" s="149" t="n"/>
      <c r="G130" s="149" t="n"/>
      <c r="H130" s="149" t="n"/>
    </row>
    <row r="131" ht="18" customHeight="1" s="143">
      <c r="A131" s="150" t="inlineStr">
        <is>
          <t>15 · CAPEX (investissements)</t>
        </is>
      </c>
      <c r="B131" s="150" t="n"/>
      <c r="C131" s="150" t="n"/>
      <c r="D131" s="150" t="n"/>
      <c r="E131" s="150" t="n"/>
      <c r="F131" s="150" t="n"/>
      <c r="G131" s="150" t="n"/>
      <c r="H131" s="150" t="n"/>
    </row>
    <row r="132" s="143">
      <c r="A132" s="162" t="inlineStr">
        <is>
          <t>Équipement</t>
        </is>
      </c>
      <c r="B132" s="162" t="inlineStr">
        <is>
          <t>Quantité</t>
        </is>
      </c>
      <c r="C132" s="162" t="inlineStr">
        <is>
          <t>PU (Ar TTC)</t>
        </is>
      </c>
      <c r="D132" s="162" t="inlineStr">
        <is>
          <t>Total (Ar)</t>
        </is>
      </c>
      <c r="E132" s="162" t="inlineStr">
        <is>
          <t>Durée (ans)</t>
        </is>
      </c>
      <c r="F132" s="162" t="inlineStr">
        <is>
          <t>Note</t>
        </is>
      </c>
      <c r="G132" s="162" t="n"/>
      <c r="H132" s="162" t="n"/>
    </row>
    <row r="133" s="143">
      <c r="A133" s="149" t="inlineStr">
        <is>
          <t>Ordinateur portable (IAS 16 — corporelle)</t>
        </is>
      </c>
      <c r="B133" s="180" t="n">
        <v>1</v>
      </c>
      <c r="C133" s="167" t="n">
        <v>900000</v>
      </c>
      <c r="D133" s="176">
        <f>B133*C133</f>
        <v/>
      </c>
      <c r="E133" s="180" t="n">
        <v>5</v>
      </c>
      <c r="F133" s="193" t="inlineStr">
        <is>
          <t>Ordinateur windows</t>
        </is>
      </c>
      <c r="G133" s="149" t="n"/>
      <c r="H133" s="149" t="n"/>
    </row>
    <row r="134" s="143">
      <c r="A134" s="149" t="inlineStr">
        <is>
          <t>Design graphique UI/UX (IAS 38 — incorporelle)</t>
        </is>
      </c>
      <c r="B134" s="180" t="n">
        <v>1</v>
      </c>
      <c r="C134" s="167" t="n">
        <v>4000000</v>
      </c>
      <c r="D134" s="176">
        <f>B134*C134</f>
        <v/>
      </c>
      <c r="E134" s="180" t="n">
        <v>5</v>
      </c>
      <c r="F134" s="149" t="n"/>
      <c r="G134" s="149" t="n"/>
      <c r="H134" s="149" t="n"/>
    </row>
    <row r="135" s="143">
      <c r="A135" s="172" t="inlineStr">
        <is>
          <t>TOTAL CAPEX</t>
        </is>
      </c>
      <c r="B135" s="194" t="n"/>
      <c r="C135" s="194" t="n"/>
      <c r="D135" s="195">
        <f>SUM(D133:D134)</f>
        <v/>
      </c>
      <c r="E135" s="194" t="n"/>
      <c r="F135" s="194" t="n"/>
      <c r="G135" s="194" t="n"/>
      <c r="H135" s="194" t="n"/>
    </row>
    <row r="136" s="143">
      <c r="A136" s="149" t="n"/>
      <c r="B136" s="149" t="n"/>
      <c r="C136" s="149" t="n"/>
      <c r="D136" s="149" t="n"/>
      <c r="E136" s="149" t="n"/>
      <c r="F136" s="149" t="n"/>
      <c r="G136" s="149" t="n"/>
      <c r="H136" s="149" t="n"/>
    </row>
    <row r="137" ht="18" customHeight="1" s="143">
      <c r="A137" s="150" t="inlineStr">
        <is>
          <t>16 · FINANCEMENT</t>
        </is>
      </c>
      <c r="B137" s="150" t="n"/>
      <c r="C137" s="150" t="n"/>
      <c r="D137" s="150" t="n"/>
      <c r="E137" s="150" t="n"/>
      <c r="F137" s="150" t="n"/>
      <c r="G137" s="150" t="n"/>
      <c r="H137" s="150" t="n"/>
    </row>
    <row r="138" s="143">
      <c r="A138" s="162" t="inlineStr">
        <is>
          <t>Libellé</t>
        </is>
      </c>
      <c r="B138" s="162" t="inlineStr">
        <is>
          <t>Valeur base</t>
        </is>
      </c>
      <c r="C138" s="162" t="inlineStr">
        <is>
          <t>Unité</t>
        </is>
      </c>
      <c r="D138" s="162" t="inlineStr">
        <is>
          <t>Valeur scénario</t>
        </is>
      </c>
      <c r="E138" s="162" t="inlineStr">
        <is>
          <t>Note</t>
        </is>
      </c>
      <c r="F138" s="162" t="n"/>
      <c r="G138" s="162" t="n"/>
      <c r="H138" s="162" t="n"/>
    </row>
    <row r="139" s="143">
      <c r="A139" s="163" t="inlineStr">
        <is>
          <t>Apport en fonds propres</t>
        </is>
      </c>
      <c r="B139" s="167" t="n">
        <v>9000000</v>
      </c>
      <c r="C139" s="165" t="inlineStr">
        <is>
          <t>Ar</t>
        </is>
      </c>
      <c r="D139" s="176">
        <f>B139</f>
        <v/>
      </c>
      <c r="E139" s="166" t="inlineStr">
        <is>
          <t>Apport des fondateurs. Le solde du besoin (Ask) est modélisé en emprunt dans la trésorerie.</t>
        </is>
      </c>
      <c r="F139" s="149" t="n"/>
      <c r="G139" s="149" t="n"/>
      <c r="H139" s="149" t="n"/>
    </row>
    <row r="140" s="143">
      <c r="A140" s="163" t="inlineStr">
        <is>
          <t>Besoin de démarrage — nombre de mois de charges couverts</t>
        </is>
      </c>
      <c r="B140" s="180" t="n">
        <v>12</v>
      </c>
      <c r="C140" s="165" t="inlineStr">
        <is>
          <t>mois</t>
        </is>
      </c>
      <c r="D140" s="181">
        <f>B140</f>
        <v/>
      </c>
      <c r="E140" s="166" t="inlineStr">
        <is>
          <t>N mois × (OPEX fixes chargés + budget publicité A1 + coûts variables du mois 1). Calcul dans Financement.</t>
        </is>
      </c>
      <c r="F140" s="149" t="n"/>
      <c r="G140" s="149" t="n"/>
      <c r="H140" s="149" t="n"/>
    </row>
    <row r="141" s="143">
      <c r="A141" s="163" t="inlineStr">
        <is>
          <t>Trésorerie de sécurité — nombre de mois d'OPEX fixes</t>
        </is>
      </c>
      <c r="B141" s="180" t="n">
        <v>3</v>
      </c>
      <c r="C141" s="165" t="inlineStr">
        <is>
          <t>mois</t>
        </is>
      </c>
      <c r="D141" s="181">
        <f>B141</f>
        <v/>
      </c>
      <c r="E141" s="166" t="inlineStr">
        <is>
          <t>Cible de la validation 3 ans : la trésorerie ne doit jamais passer sous ce matelas.</t>
        </is>
      </c>
      <c r="F141" s="149" t="n"/>
      <c r="G141" s="149" t="n"/>
      <c r="H141" s="149" t="n"/>
    </row>
    <row r="142" s="143">
      <c r="A142" s="163" t="inlineStr">
        <is>
          <t>Plancher de trésorerie pour l'embauche du collaborateur 2</t>
        </is>
      </c>
      <c r="B142" s="167" t="n">
        <v>1000000</v>
      </c>
      <c r="C142" s="165" t="inlineStr">
        <is>
          <t>Ar</t>
        </is>
      </c>
      <c r="D142" s="176">
        <f>B142</f>
        <v/>
      </c>
      <c r="E142" s="166" t="inlineStr">
        <is>
          <t>Découplé de la trésorerie de sécurité ; utilisé uniquement par le déclencheur d'embauche (section 14).</t>
        </is>
      </c>
      <c r="F142" s="149" t="n"/>
      <c r="G142" s="149" t="n"/>
      <c r="H142" s="149" t="n"/>
    </row>
    <row r="143" s="143">
      <c r="A143" s="163" t="inlineStr">
        <is>
          <t>Taux d'emprunt annuel</t>
        </is>
      </c>
      <c r="B143" s="169" t="n">
        <v>0.09</v>
      </c>
      <c r="C143" s="165" t="inlineStr">
        <is>
          <t>%/an</t>
        </is>
      </c>
      <c r="D143" s="170">
        <f>B143</f>
        <v/>
      </c>
      <c r="E143" s="149" t="n"/>
      <c r="F143" s="149" t="n"/>
      <c r="G143" s="149" t="n"/>
      <c r="H143" s="149" t="n"/>
    </row>
    <row r="144" s="143">
      <c r="A144" s="163" t="inlineStr">
        <is>
          <t>Durée de l'emprunt (mois)</t>
        </is>
      </c>
      <c r="B144" s="180" t="n">
        <v>60</v>
      </c>
      <c r="C144" s="165" t="inlineStr">
        <is>
          <t>mois</t>
        </is>
      </c>
      <c r="D144" s="181">
        <f>B144</f>
        <v/>
      </c>
      <c r="E144" s="166" t="inlineStr">
        <is>
          <t>Si &gt; 36, le capital restant dû au mois 36 est affiché dans Financement et au Bilan.</t>
        </is>
      </c>
      <c r="F144" s="149" t="n"/>
      <c r="G144" s="149" t="n"/>
      <c r="H144" s="149" t="n"/>
    </row>
    <row r="145" s="143">
      <c r="A145" s="163" t="inlineStr">
        <is>
          <t>Ask — part visée auprès d'investisseurs (equity / quasi-fonds propres), indicatif</t>
        </is>
      </c>
      <c r="B145" s="169" t="n">
        <v>0.3</v>
      </c>
      <c r="C145" s="165" t="inlineStr">
        <is>
          <t>%</t>
        </is>
      </c>
      <c r="D145" s="170">
        <f>B145</f>
        <v/>
      </c>
      <c r="E145" s="166" t="inlineStr">
        <is>
          <t>Ventilation de présentation uniquement : la trésorerie modélise l'ensemble du financement externe en emprunt (mécanique inchangée).</t>
        </is>
      </c>
      <c r="F145" s="149" t="n"/>
      <c r="G145" s="149" t="n"/>
      <c r="H145" s="149" t="n"/>
    </row>
    <row r="146" s="143">
      <c r="A146" s="163" t="inlineStr">
        <is>
          <t>Référence V2.3 — apport calé à la main pour un plancher de 1 M Ar (documentation)</t>
        </is>
      </c>
      <c r="B146" s="167" t="n">
        <v>36700000</v>
      </c>
      <c r="C146" s="165" t="inlineStr">
        <is>
          <t>Ar</t>
        </is>
      </c>
      <c r="D146" s="176">
        <f>B146</f>
        <v/>
      </c>
      <c r="E146" s="166" t="inlineStr">
        <is>
          <t>Ancien apport itéré manuellement. Comparé au besoin réel calculé (Financement, bloc Validation 3 ans).</t>
        </is>
      </c>
      <c r="F146" s="149" t="n"/>
      <c r="G146" s="149" t="n"/>
      <c r="H146" s="149" t="n"/>
    </row>
    <row r="147" s="143">
      <c r="A147" s="149" t="n"/>
      <c r="B147" s="149" t="n"/>
      <c r="C147" s="149" t="n"/>
      <c r="D147" s="149" t="n"/>
      <c r="E147" s="149" t="n"/>
      <c r="F147" s="149" t="n"/>
      <c r="G147" s="149" t="n"/>
      <c r="H147" s="149" t="n"/>
    </row>
    <row r="148" ht="18" customHeight="1" s="143">
      <c r="A148" s="150" t="inlineStr">
        <is>
          <t>17 · FISCALITÉ MADAGASCAR (LF 2026) — IS SYNTHÉTIQUE / IR RÉGIME RÉEL</t>
        </is>
      </c>
      <c r="B148" s="150" t="n"/>
      <c r="C148" s="150" t="n"/>
      <c r="D148" s="150" t="n"/>
      <c r="E148" s="150" t="n"/>
      <c r="F148" s="150" t="n"/>
      <c r="G148" s="150" t="n"/>
      <c r="H148" s="150" t="n"/>
    </row>
    <row r="149" s="143">
      <c r="A149" s="162" t="inlineStr">
        <is>
          <t>Libellé</t>
        </is>
      </c>
      <c r="B149" s="162" t="inlineStr">
        <is>
          <t>Valeur base</t>
        </is>
      </c>
      <c r="C149" s="162" t="inlineStr">
        <is>
          <t>Unité</t>
        </is>
      </c>
      <c r="D149" s="162" t="inlineStr">
        <is>
          <t>Valeur scénario</t>
        </is>
      </c>
      <c r="E149" s="162" t="inlineStr">
        <is>
          <t>Note</t>
        </is>
      </c>
      <c r="F149" s="162" t="n"/>
      <c r="G149" s="162" t="n"/>
      <c r="H149" s="162" t="n"/>
    </row>
    <row r="150" s="143">
      <c r="A150" s="163" t="inlineStr">
        <is>
          <t>Seuil de passage au régime réel (CA annuel)</t>
        </is>
      </c>
      <c r="B150" s="167" t="n">
        <v>200000000</v>
      </c>
      <c r="C150" s="165" t="inlineStr">
        <is>
          <t>Ar/an</t>
        </is>
      </c>
      <c r="D150" s="176">
        <f>B150</f>
        <v/>
      </c>
      <c r="E150" s="149" t="n"/>
      <c r="F150" s="149" t="n"/>
      <c r="G150" s="149" t="n"/>
      <c r="H150" s="149" t="n"/>
    </row>
    <row r="151" s="143">
      <c r="A151" s="163" t="inlineStr">
        <is>
          <t>Taux Impôt Synthétique si CA &lt; seuil (sur le CA)</t>
        </is>
      </c>
      <c r="B151" s="169" t="n">
        <v>0.05</v>
      </c>
      <c r="C151" s="165" t="inlineStr">
        <is>
          <t>% CA</t>
        </is>
      </c>
      <c r="D151" s="170">
        <f>B151</f>
        <v/>
      </c>
      <c r="E151" s="149" t="n"/>
      <c r="F151" s="149" t="n"/>
      <c r="G151" s="149" t="n"/>
      <c r="H151" s="149" t="n"/>
    </row>
    <row r="152" s="143">
      <c r="A152" s="163" t="inlineStr">
        <is>
          <t>Taux IR si CA ≥ seuil (sur le bénéfice)</t>
        </is>
      </c>
      <c r="B152" s="169" t="n">
        <v>0.2</v>
      </c>
      <c r="C152" s="165" t="inlineStr">
        <is>
          <t>% bénéfice</t>
        </is>
      </c>
      <c r="D152" s="170">
        <f>B152</f>
        <v/>
      </c>
      <c r="E152" s="149" t="n"/>
      <c r="F152" s="149" t="n"/>
      <c r="G152" s="149" t="n"/>
      <c r="H152" s="149" t="n"/>
    </row>
    <row r="153" s="143">
      <c r="A153" s="163" t="inlineStr">
        <is>
          <t>Minimum de perception IR — part fixe (régime réel uniquement)</t>
        </is>
      </c>
      <c r="B153" s="167" t="n">
        <v>1000000</v>
      </c>
      <c r="C153" s="165" t="inlineStr">
        <is>
          <t>Ar/an</t>
        </is>
      </c>
      <c r="D153" s="176">
        <f>B153</f>
        <v/>
      </c>
      <c r="E153" s="166" t="inlineStr">
        <is>
          <t>Code des impôts : 1 000 000 Ar pour les « autres entreprises ». Inactif tant que CA &lt; seuil.</t>
        </is>
      </c>
      <c r="F153" s="149" t="n"/>
      <c r="G153" s="149" t="n"/>
      <c r="H153" s="149" t="n"/>
    </row>
    <row r="154" s="143">
      <c r="A154" s="163" t="inlineStr">
        <is>
          <t>Minimum de perception IR — % du CA (régime réel uniquement)</t>
        </is>
      </c>
      <c r="B154" s="169" t="n">
        <v>0.01</v>
      </c>
      <c r="C154" s="165" t="inlineStr">
        <is>
          <t>% CA</t>
        </is>
      </c>
      <c r="D154" s="170">
        <f>B154</f>
        <v/>
      </c>
      <c r="E154" s="149" t="n"/>
      <c r="F154" s="149" t="n"/>
      <c r="G154" s="149" t="n"/>
      <c r="H154" s="149" t="n"/>
    </row>
    <row r="155" s="143">
      <c r="A155" s="149" t="n"/>
      <c r="B155" s="149" t="n"/>
      <c r="C155" s="149" t="n"/>
      <c r="D155" s="149" t="n"/>
      <c r="E155" s="149" t="n"/>
      <c r="F155" s="149" t="n"/>
      <c r="G155" s="149" t="n"/>
      <c r="H155" s="149" t="n"/>
    </row>
    <row r="156" ht="18" customHeight="1" s="143">
      <c r="A156" s="150" t="inlineStr">
        <is>
          <t>18 · STRESS TEST — SCÉNARIO DÉGRADÉ COMBINÉ (indépendant de Prudent / Base / Optimiste)</t>
        </is>
      </c>
      <c r="B156" s="150" t="n"/>
      <c r="C156" s="150" t="n"/>
      <c r="D156" s="150" t="n"/>
      <c r="E156" s="150" t="n"/>
      <c r="F156" s="150" t="n"/>
      <c r="G156" s="150" t="n"/>
      <c r="H156" s="150" t="n"/>
    </row>
    <row r="157" s="143">
      <c r="A157" s="162" t="inlineStr">
        <is>
          <t>Libellé</t>
        </is>
      </c>
      <c r="B157" s="162" t="inlineStr">
        <is>
          <t>Valeur</t>
        </is>
      </c>
      <c r="C157" s="162" t="inlineStr">
        <is>
          <t>Unité</t>
        </is>
      </c>
      <c r="D157" s="162" t="n"/>
      <c r="E157" s="162" t="inlineStr">
        <is>
          <t>Note</t>
        </is>
      </c>
      <c r="F157" s="162" t="n"/>
      <c r="G157" s="162" t="n"/>
      <c r="H157" s="162" t="n"/>
    </row>
    <row r="158" s="143">
      <c r="A158" s="163" t="inlineStr">
        <is>
          <t>Activer le stress test (1 = oui, 0 = non)</t>
        </is>
      </c>
      <c r="B158" s="180" t="n">
        <v>0</v>
      </c>
      <c r="C158" s="165" t="inlineStr">
        <is>
          <t>0/1</t>
        </is>
      </c>
      <c r="D158" s="149" t="n"/>
      <c r="E158" s="166" t="inlineStr">
        <is>
          <t>Interrupteur unique : bascule sur 1 pour appliquer tous les chocs ci-dessous.</t>
        </is>
      </c>
      <c r="F158" s="149" t="n"/>
      <c r="G158" s="149" t="n"/>
      <c r="H158" s="149" t="n"/>
    </row>
    <row r="159" s="143">
      <c r="A159" s="163" t="inlineStr">
        <is>
          <t>Choc de demande / volumes de départ (réduction)</t>
        </is>
      </c>
      <c r="B159" s="169" t="n">
        <v>0.3</v>
      </c>
      <c r="C159" s="165" t="inlineStr">
        <is>
          <t>%</t>
        </is>
      </c>
      <c r="D159" s="149" t="n"/>
      <c r="E159" s="166" t="inlineStr">
        <is>
          <t>Appliqué aux volumes et à l'offre du mois 1 de chaque segment.</t>
        </is>
      </c>
      <c r="F159" s="149" t="n"/>
      <c r="G159" s="149" t="n"/>
      <c r="H159" s="149" t="n"/>
    </row>
    <row r="160" s="143">
      <c r="A160" s="163" t="inlineStr">
        <is>
          <t>Retard de lancement (croissance de la demande gelée)</t>
        </is>
      </c>
      <c r="B160" s="180" t="n">
        <v>6</v>
      </c>
      <c r="C160" s="165" t="inlineStr">
        <is>
          <t>mois</t>
        </is>
      </c>
      <c r="D160" s="149" t="n"/>
      <c r="E160" s="149" t="n"/>
      <c r="F160" s="149" t="n"/>
      <c r="G160" s="149" t="n"/>
      <c r="H160" s="149" t="n"/>
    </row>
    <row r="161">
      <c r="A161" s="196" t="inlineStr">
        <is>
          <t>Choc OPEX (hausse) — appliqué aux charges fixes et coûts opérationnels</t>
        </is>
      </c>
      <c r="B161" s="197" t="n">
        <v>0.3</v>
      </c>
      <c r="C161" s="198" t="inlineStr">
        <is>
          <t>%</t>
        </is>
      </c>
    </row>
    <row r="162">
      <c r="A162" s="196" t="inlineStr">
        <is>
          <t>Choc CAPEX (hausse)</t>
        </is>
      </c>
      <c r="B162" s="197" t="n">
        <v>0.2</v>
      </c>
      <c r="C162" s="198" t="inlineStr">
        <is>
          <t>%</t>
        </is>
      </c>
    </row>
    <row r="163">
      <c r="A163" s="196" t="inlineStr">
        <is>
          <t>Taux d'impayé sur encaissements</t>
        </is>
      </c>
      <c r="B163" s="197" t="n">
        <v>0.04</v>
      </c>
      <c r="C163" s="198" t="inlineStr">
        <is>
          <t>%</t>
        </is>
      </c>
    </row>
    <row r="164">
      <c r="A164" s="196" t="inlineStr">
        <is>
          <t>Réduction du take rate (points, 0,025 = 2,5 points)</t>
        </is>
      </c>
      <c r="B164" s="199" t="n">
        <v>0.025</v>
      </c>
      <c r="C164" s="198" t="inlineStr">
        <is>
          <t>%</t>
        </is>
      </c>
    </row>
    <row r="165">
      <c r="A165" s="196" t="inlineStr">
        <is>
          <t>Délai d'encaissement client</t>
        </is>
      </c>
      <c r="B165" s="200" t="n">
        <v>1</v>
      </c>
      <c r="C165" s="198" t="inlineStr">
        <is>
          <t>mois (≈30 jours)</t>
        </is>
      </c>
    </row>
  </sheetData>
  <dataValidations count="1">
    <dataValidation sqref="B2" showErrorMessage="1" showInputMessage="1" allowBlank="0" type="list">
      <formula1>"1,2,3"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zoomScaleNormal="100" workbookViewId="0">
      <selection activeCell="D27" sqref="D27"/>
    </sheetView>
  </sheetViews>
  <sheetFormatPr baseColWidth="10" defaultColWidth="8.83203125" defaultRowHeight="15"/>
  <cols>
    <col width="46" customWidth="1" style="143" min="1" max="1"/>
    <col width="16" customWidth="1" style="143" min="2" max="5"/>
  </cols>
  <sheetData>
    <row r="1" ht="22" customHeight="1" s="143">
      <c r="A1" s="6" t="inlineStr">
        <is>
          <t>SCÉNARIOS — multiplicateurs appliqués aux paramètres de base</t>
        </is>
      </c>
      <c r="B1" s="6" t="n"/>
      <c r="C1" s="6" t="n"/>
      <c r="D1" s="6" t="n"/>
      <c r="E1" s="6" t="n"/>
      <c r="F1" s="6" t="n"/>
    </row>
    <row r="2" ht="15" customHeight="1" s="143">
      <c r="A2" s="11" t="inlineStr">
        <is>
          <t>Le scénario actif se choisit dans Parametres!B2. Colonne « Actif » = multiplicateur appliqué.</t>
        </is>
      </c>
    </row>
    <row r="3" ht="15" customHeight="1" s="143">
      <c r="A3" s="67" t="inlineStr">
        <is>
          <t>Multiplicateur</t>
        </is>
      </c>
      <c r="B3" s="67" t="inlineStr">
        <is>
          <t>Prudent (P10)</t>
        </is>
      </c>
      <c r="C3" s="67" t="inlineStr">
        <is>
          <t>Base (P50)</t>
        </is>
      </c>
      <c r="D3" s="67" t="inlineStr">
        <is>
          <t>Optimiste (P90)</t>
        </is>
      </c>
      <c r="E3" s="67" t="inlineStr">
        <is>
          <t>Actif</t>
        </is>
      </c>
      <c r="F3" s="68" t="n"/>
    </row>
    <row r="4" ht="15" customHeight="1" s="143">
      <c r="A4" s="11" t="inlineStr">
        <is>
          <t>Volumes de départ (clients, transactions)</t>
        </is>
      </c>
      <c r="B4" s="69" t="n">
        <v>0.7</v>
      </c>
      <c r="C4" s="69" t="n">
        <v>1</v>
      </c>
      <c r="D4" s="69" t="n">
        <v>1.3</v>
      </c>
      <c r="E4" s="70">
        <f>INDEX(B4:D4,1,Parametres!$B$2)</f>
        <v/>
      </c>
    </row>
    <row r="5" ht="15" customHeight="1" s="143">
      <c r="A5" s="11" t="inlineStr">
        <is>
          <t>Croissance mensuelle</t>
        </is>
      </c>
      <c r="B5" s="69" t="n">
        <v>0.7</v>
      </c>
      <c r="C5" s="69" t="n">
        <v>1</v>
      </c>
      <c r="D5" s="69" t="n">
        <v>1.3</v>
      </c>
      <c r="E5" s="70">
        <f>INDEX(B5:D5,1,Parametres!$B$2)</f>
        <v/>
      </c>
    </row>
    <row r="6" ht="15" customHeight="1" s="143">
      <c r="A6" s="11" t="inlineStr">
        <is>
          <t>Paniers moyens / prix transactionnels</t>
        </is>
      </c>
      <c r="B6" s="69" t="n">
        <v>0.9</v>
      </c>
      <c r="C6" s="69" t="n">
        <v>1</v>
      </c>
      <c r="D6" s="69" t="n">
        <v>1.1</v>
      </c>
      <c r="E6" s="70">
        <f>INDEX(B6:D6,1,Parametres!$B$2)</f>
        <v/>
      </c>
    </row>
    <row r="7" ht="15" customHeight="1" s="143">
      <c r="A7" s="11" t="inlineStr">
        <is>
          <t>Churn (attrition)</t>
        </is>
      </c>
      <c r="B7" s="69" t="n">
        <v>1.3</v>
      </c>
      <c r="C7" s="69" t="n">
        <v>1</v>
      </c>
      <c r="D7" s="69" t="n">
        <v>0.8</v>
      </c>
      <c r="E7" s="70">
        <f>INDEX(B7:D7,1,Parametres!$B$2)</f>
        <v/>
      </c>
    </row>
    <row r="8" ht="15" customHeight="1" s="143">
      <c r="A8" s="11" t="inlineStr">
        <is>
          <t>OPEX (charges fixes)</t>
        </is>
      </c>
      <c r="B8" s="69" t="n">
        <v>1.05</v>
      </c>
      <c r="C8" s="69" t="n">
        <v>1</v>
      </c>
      <c r="D8" s="69" t="n">
        <v>1</v>
      </c>
      <c r="E8" s="70">
        <f>INDEX(B8:D8,1,Parametres!$B$2)</f>
        <v/>
      </c>
    </row>
    <row r="10" ht="15" customHeight="1" s="143">
      <c r="A10" s="11" t="inlineStr">
        <is>
          <t>Note : pour comparer les scénarios, changer Parametres!B2 (1/2/3) — tout le classeur (Plan ventes, P&amp;L, Trésorerie, KPI, Dashboard) se recalcule automatiquement.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0"/>
  <sheetViews>
    <sheetView showGridLines="0" zoomScaleNormal="10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4" sqref="A4"/>
      <selection pane="bottomRight" activeCell="A41" sqref="A41"/>
    </sheetView>
  </sheetViews>
  <sheetFormatPr baseColWidth="10" defaultColWidth="8.83203125" defaultRowHeight="15"/>
  <cols>
    <col width="78" customWidth="1" style="143" min="1" max="1"/>
    <col width="11" customWidth="1" style="143" min="2" max="37"/>
    <col width="11" customWidth="1" style="143" min="3" max="3"/>
    <col width="11" customWidth="1" style="143" min="4" max="4"/>
    <col width="11" customWidth="1" style="143" min="5" max="5"/>
    <col width="11" customWidth="1" style="143" min="6" max="6"/>
    <col width="11" customWidth="1" style="143" min="7" max="7"/>
    <col width="11" customWidth="1" style="143" min="8" max="8"/>
    <col width="11" customWidth="1" style="143" min="9" max="9"/>
    <col width="11" customWidth="1" style="143" min="10" max="10"/>
    <col width="11" customWidth="1" style="143" min="11" max="11"/>
    <col width="11" customWidth="1" style="143" min="12" max="12"/>
    <col width="11" customWidth="1" style="143" min="13" max="13"/>
    <col width="11" customWidth="1" style="143" min="14" max="14"/>
    <col width="11" customWidth="1" style="143" min="15" max="15"/>
    <col width="11" customWidth="1" style="143" min="16" max="16"/>
    <col width="11" customWidth="1" style="143" min="17" max="17"/>
    <col width="11" customWidth="1" style="143" min="18" max="18"/>
    <col width="11" customWidth="1" style="143" min="19" max="19"/>
    <col width="11" customWidth="1" style="143" min="20" max="20"/>
    <col width="11" customWidth="1" style="143" min="21" max="21"/>
    <col width="11" customWidth="1" style="143" min="22" max="22"/>
    <col width="11" customWidth="1" style="143" min="23" max="23"/>
    <col width="11" customWidth="1" style="143" min="24" max="24"/>
    <col width="11" customWidth="1" style="143" min="25" max="25"/>
    <col width="11" customWidth="1" style="143" min="26" max="26"/>
    <col width="11" customWidth="1" style="143" min="27" max="27"/>
    <col width="11" customWidth="1" style="143" min="28" max="28"/>
    <col width="11" customWidth="1" style="143" min="29" max="29"/>
    <col width="11" customWidth="1" style="143" min="30" max="30"/>
    <col width="11" customWidth="1" style="143" min="31" max="31"/>
    <col width="11" customWidth="1" style="143" min="32" max="32"/>
    <col width="11" customWidth="1" style="143" min="33" max="33"/>
    <col width="11" customWidth="1" style="143" min="34" max="34"/>
    <col width="11" customWidth="1" style="143" min="35" max="35"/>
    <col width="11" customWidth="1" style="143" min="36" max="36"/>
    <col width="11" customWidth="1" style="143" min="37" max="37"/>
  </cols>
  <sheetData>
    <row r="1" ht="22" customHeight="1" s="143">
      <c r="A1" s="159" t="inlineStr">
        <is>
          <t>PLAN DE VENTES — acquisition, offre (capacité contraignante), demande, GMV, CA (M1–M36) + flag embauche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  <c r="AA1" s="159" t="n"/>
      <c r="AB1" s="159" t="n"/>
      <c r="AC1" s="159" t="n"/>
      <c r="AD1" s="159" t="n"/>
      <c r="AE1" s="159" t="n"/>
      <c r="AF1" s="159" t="n"/>
      <c r="AG1" s="159" t="n"/>
      <c r="AH1" s="159" t="n"/>
      <c r="AI1" s="159" t="n"/>
      <c r="AJ1" s="159" t="n"/>
      <c r="AK1" s="159" t="n"/>
    </row>
    <row r="2" s="143">
      <c r="A2" s="162" t="inlineStr">
        <is>
          <t>Année</t>
        </is>
      </c>
      <c r="B2" s="201">
        <f>INT((B3-1)/12)+1</f>
        <v/>
      </c>
      <c r="C2" s="201">
        <f>INT((C3-1)/12)+1</f>
        <v/>
      </c>
      <c r="D2" s="201">
        <f>INT((D3-1)/12)+1</f>
        <v/>
      </c>
      <c r="E2" s="201">
        <f>INT((E3-1)/12)+1</f>
        <v/>
      </c>
      <c r="F2" s="201">
        <f>INT((F3-1)/12)+1</f>
        <v/>
      </c>
      <c r="G2" s="201">
        <f>INT((G3-1)/12)+1</f>
        <v/>
      </c>
      <c r="H2" s="201">
        <f>INT((H3-1)/12)+1</f>
        <v/>
      </c>
      <c r="I2" s="201">
        <f>INT((I3-1)/12)+1</f>
        <v/>
      </c>
      <c r="J2" s="201">
        <f>INT((J3-1)/12)+1</f>
        <v/>
      </c>
      <c r="K2" s="201">
        <f>INT((K3-1)/12)+1</f>
        <v/>
      </c>
      <c r="L2" s="201">
        <f>INT((L3-1)/12)+1</f>
        <v/>
      </c>
      <c r="M2" s="201">
        <f>INT((M3-1)/12)+1</f>
        <v/>
      </c>
      <c r="N2" s="201">
        <f>INT((N3-1)/12)+1</f>
        <v/>
      </c>
      <c r="O2" s="201">
        <f>INT((O3-1)/12)+1</f>
        <v/>
      </c>
      <c r="P2" s="201">
        <f>INT((P3-1)/12)+1</f>
        <v/>
      </c>
      <c r="Q2" s="201">
        <f>INT((Q3-1)/12)+1</f>
        <v/>
      </c>
      <c r="R2" s="201">
        <f>INT((R3-1)/12)+1</f>
        <v/>
      </c>
      <c r="S2" s="201">
        <f>INT((S3-1)/12)+1</f>
        <v/>
      </c>
      <c r="T2" s="201">
        <f>INT((T3-1)/12)+1</f>
        <v/>
      </c>
      <c r="U2" s="201">
        <f>INT((U3-1)/12)+1</f>
        <v/>
      </c>
      <c r="V2" s="201">
        <f>INT((V3-1)/12)+1</f>
        <v/>
      </c>
      <c r="W2" s="201">
        <f>INT((W3-1)/12)+1</f>
        <v/>
      </c>
      <c r="X2" s="201">
        <f>INT((X3-1)/12)+1</f>
        <v/>
      </c>
      <c r="Y2" s="201">
        <f>INT((Y3-1)/12)+1</f>
        <v/>
      </c>
      <c r="Z2" s="201">
        <f>INT((Z3-1)/12)+1</f>
        <v/>
      </c>
      <c r="AA2" s="201">
        <f>INT((AA3-1)/12)+1</f>
        <v/>
      </c>
      <c r="AB2" s="201">
        <f>INT((AB3-1)/12)+1</f>
        <v/>
      </c>
      <c r="AC2" s="201">
        <f>INT((AC3-1)/12)+1</f>
        <v/>
      </c>
      <c r="AD2" s="201">
        <f>INT((AD3-1)/12)+1</f>
        <v/>
      </c>
      <c r="AE2" s="201">
        <f>INT((AE3-1)/12)+1</f>
        <v/>
      </c>
      <c r="AF2" s="201">
        <f>INT((AF3-1)/12)+1</f>
        <v/>
      </c>
      <c r="AG2" s="201">
        <f>INT((AG3-1)/12)+1</f>
        <v/>
      </c>
      <c r="AH2" s="201">
        <f>INT((AH3-1)/12)+1</f>
        <v/>
      </c>
      <c r="AI2" s="201">
        <f>INT((AI3-1)/12)+1</f>
        <v/>
      </c>
      <c r="AJ2" s="201">
        <f>INT((AJ3-1)/12)+1</f>
        <v/>
      </c>
      <c r="AK2" s="201">
        <f>INT((AK3-1)/12)+1</f>
        <v/>
      </c>
    </row>
    <row r="3" s="143">
      <c r="A3" s="162" t="inlineStr">
        <is>
          <t>Mois</t>
        </is>
      </c>
      <c r="B3" s="201" t="n">
        <v>1</v>
      </c>
      <c r="C3" s="201" t="n">
        <v>2</v>
      </c>
      <c r="D3" s="201" t="n">
        <v>3</v>
      </c>
      <c r="E3" s="201" t="n">
        <v>4</v>
      </c>
      <c r="F3" s="201" t="n">
        <v>5</v>
      </c>
      <c r="G3" s="201" t="n">
        <v>6</v>
      </c>
      <c r="H3" s="201" t="n">
        <v>7</v>
      </c>
      <c r="I3" s="201" t="n">
        <v>8</v>
      </c>
      <c r="J3" s="201" t="n">
        <v>9</v>
      </c>
      <c r="K3" s="201" t="n">
        <v>10</v>
      </c>
      <c r="L3" s="201" t="n">
        <v>11</v>
      </c>
      <c r="M3" s="201" t="n">
        <v>12</v>
      </c>
      <c r="N3" s="201" t="n">
        <v>13</v>
      </c>
      <c r="O3" s="201" t="n">
        <v>14</v>
      </c>
      <c r="P3" s="201" t="n">
        <v>15</v>
      </c>
      <c r="Q3" s="201" t="n">
        <v>16</v>
      </c>
      <c r="R3" s="201" t="n">
        <v>17</v>
      </c>
      <c r="S3" s="201" t="n">
        <v>18</v>
      </c>
      <c r="T3" s="201" t="n">
        <v>19</v>
      </c>
      <c r="U3" s="201" t="n">
        <v>20</v>
      </c>
      <c r="V3" s="201" t="n">
        <v>21</v>
      </c>
      <c r="W3" s="201" t="n">
        <v>22</v>
      </c>
      <c r="X3" s="201" t="n">
        <v>23</v>
      </c>
      <c r="Y3" s="201" t="n">
        <v>24</v>
      </c>
      <c r="Z3" s="201" t="n">
        <v>25</v>
      </c>
      <c r="AA3" s="201" t="n">
        <v>26</v>
      </c>
      <c r="AB3" s="201" t="n">
        <v>27</v>
      </c>
      <c r="AC3" s="201" t="n">
        <v>28</v>
      </c>
      <c r="AD3" s="201" t="n">
        <v>29</v>
      </c>
      <c r="AE3" s="201" t="n">
        <v>30</v>
      </c>
      <c r="AF3" s="201" t="n">
        <v>31</v>
      </c>
      <c r="AG3" s="201" t="n">
        <v>32</v>
      </c>
      <c r="AH3" s="201" t="n">
        <v>33</v>
      </c>
      <c r="AI3" s="201" t="n">
        <v>34</v>
      </c>
      <c r="AJ3" s="201" t="n">
        <v>35</v>
      </c>
      <c r="AK3" s="201" t="n">
        <v>36</v>
      </c>
    </row>
    <row r="4" s="143">
      <c r="A4" s="149" t="n"/>
      <c r="B4" s="149" t="n"/>
      <c r="C4" s="149" t="n"/>
      <c r="D4" s="149" t="n"/>
      <c r="E4" s="149" t="n"/>
      <c r="F4" s="149" t="n"/>
      <c r="G4" s="149" t="n"/>
      <c r="H4" s="149" t="n"/>
      <c r="I4" s="149" t="n"/>
      <c r="J4" s="149" t="n"/>
      <c r="K4" s="149" t="n"/>
      <c r="L4" s="149" t="n"/>
      <c r="M4" s="149" t="n"/>
      <c r="N4" s="149" t="n"/>
      <c r="O4" s="149" t="n"/>
      <c r="P4" s="149" t="n"/>
      <c r="Q4" s="149" t="n"/>
      <c r="R4" s="149" t="n"/>
      <c r="S4" s="149" t="n"/>
      <c r="T4" s="149" t="n"/>
      <c r="U4" s="149" t="n"/>
      <c r="V4" s="149" t="n"/>
      <c r="W4" s="149" t="n"/>
      <c r="X4" s="149" t="n"/>
      <c r="Y4" s="149" t="n"/>
      <c r="Z4" s="149" t="n"/>
      <c r="AA4" s="149" t="n"/>
      <c r="AB4" s="149" t="n"/>
      <c r="AC4" s="149" t="n"/>
      <c r="AD4" s="149" t="n"/>
      <c r="AE4" s="149" t="n"/>
      <c r="AF4" s="149" t="n"/>
      <c r="AG4" s="149" t="n"/>
      <c r="AH4" s="149" t="n"/>
      <c r="AI4" s="149" t="n"/>
      <c r="AJ4" s="149" t="n"/>
      <c r="AK4" s="149" t="n"/>
    </row>
    <row r="5" ht="18" customHeight="1" s="143">
      <c r="A5" s="150" t="inlineStr">
        <is>
          <t>ACQUISITION → CROISSANCE</t>
        </is>
      </c>
      <c r="B5" s="150" t="n"/>
      <c r="C5" s="150" t="n"/>
      <c r="D5" s="150" t="n"/>
      <c r="E5" s="150" t="n"/>
      <c r="F5" s="150" t="n"/>
      <c r="G5" s="150" t="n"/>
      <c r="H5" s="150" t="n"/>
      <c r="I5" s="150" t="n"/>
      <c r="J5" s="150" t="n"/>
      <c r="K5" s="150" t="n"/>
      <c r="L5" s="150" t="n"/>
      <c r="M5" s="150" t="n"/>
      <c r="N5" s="150" t="n"/>
      <c r="O5" s="150" t="n"/>
      <c r="P5" s="150" t="n"/>
      <c r="Q5" s="150" t="n"/>
      <c r="R5" s="150" t="n"/>
      <c r="S5" s="150" t="n"/>
      <c r="T5" s="150" t="n"/>
      <c r="U5" s="150" t="n"/>
      <c r="V5" s="150" t="n"/>
      <c r="W5" s="150" t="n"/>
      <c r="X5" s="150" t="n"/>
      <c r="Y5" s="150" t="n"/>
      <c r="Z5" s="150" t="n"/>
      <c r="AA5" s="150" t="n"/>
      <c r="AB5" s="150" t="n"/>
      <c r="AC5" s="150" t="n"/>
      <c r="AD5" s="150" t="n"/>
      <c r="AE5" s="150" t="n"/>
      <c r="AF5" s="150" t="n"/>
      <c r="AG5" s="150" t="n"/>
      <c r="AH5" s="150" t="n"/>
      <c r="AI5" s="150" t="n"/>
      <c r="AJ5" s="150" t="n"/>
      <c r="AK5" s="150" t="n"/>
    </row>
    <row r="6" s="143">
      <c r="A6" s="149" t="inlineStr">
        <is>
          <t>Budget publicité / acquisition du mois (Ar, saisi par année — section 9)</t>
        </is>
      </c>
      <c r="B6" s="168">
        <f>CHOOSE(B$2,Parametres!$D$63,Parametres!$D$64,Parametres!$D$65)</f>
        <v/>
      </c>
      <c r="C6" s="168">
        <f>CHOOSE(C$2,Parametres!$D$63,Parametres!$D$64,Parametres!$D$65)</f>
        <v/>
      </c>
      <c r="D6" s="168">
        <f>CHOOSE(D$2,Parametres!$D$63,Parametres!$D$64,Parametres!$D$65)</f>
        <v/>
      </c>
      <c r="E6" s="168">
        <f>CHOOSE(E$2,Parametres!$D$63,Parametres!$D$64,Parametres!$D$65)</f>
        <v/>
      </c>
      <c r="F6" s="168">
        <f>CHOOSE(F$2,Parametres!$D$63,Parametres!$D$64,Parametres!$D$65)</f>
        <v/>
      </c>
      <c r="G6" s="168">
        <f>CHOOSE(G$2,Parametres!$D$63,Parametres!$D$64,Parametres!$D$65)</f>
        <v/>
      </c>
      <c r="H6" s="168">
        <f>CHOOSE(H$2,Parametres!$D$63,Parametres!$D$64,Parametres!$D$65)</f>
        <v/>
      </c>
      <c r="I6" s="168">
        <f>CHOOSE(I$2,Parametres!$D$63,Parametres!$D$64,Parametres!$D$65)</f>
        <v/>
      </c>
      <c r="J6" s="168">
        <f>CHOOSE(J$2,Parametres!$D$63,Parametres!$D$64,Parametres!$D$65)</f>
        <v/>
      </c>
      <c r="K6" s="168">
        <f>CHOOSE(K$2,Parametres!$D$63,Parametres!$D$64,Parametres!$D$65)</f>
        <v/>
      </c>
      <c r="L6" s="168">
        <f>CHOOSE(L$2,Parametres!$D$63,Parametres!$D$64,Parametres!$D$65)</f>
        <v/>
      </c>
      <c r="M6" s="168">
        <f>CHOOSE(M$2,Parametres!$D$63,Parametres!$D$64,Parametres!$D$65)</f>
        <v/>
      </c>
      <c r="N6" s="168">
        <f>CHOOSE(N$2,Parametres!$D$63,Parametres!$D$64,Parametres!$D$65)</f>
        <v/>
      </c>
      <c r="O6" s="168">
        <f>CHOOSE(O$2,Parametres!$D$63,Parametres!$D$64,Parametres!$D$65)</f>
        <v/>
      </c>
      <c r="P6" s="168">
        <f>CHOOSE(P$2,Parametres!$D$63,Parametres!$D$64,Parametres!$D$65)</f>
        <v/>
      </c>
      <c r="Q6" s="168">
        <f>CHOOSE(Q$2,Parametres!$D$63,Parametres!$D$64,Parametres!$D$65)</f>
        <v/>
      </c>
      <c r="R6" s="168">
        <f>CHOOSE(R$2,Parametres!$D$63,Parametres!$D$64,Parametres!$D$65)</f>
        <v/>
      </c>
      <c r="S6" s="168">
        <f>CHOOSE(S$2,Parametres!$D$63,Parametres!$D$64,Parametres!$D$65)</f>
        <v/>
      </c>
      <c r="T6" s="168">
        <f>CHOOSE(T$2,Parametres!$D$63,Parametres!$D$64,Parametres!$D$65)</f>
        <v/>
      </c>
      <c r="U6" s="168">
        <f>CHOOSE(U$2,Parametres!$D$63,Parametres!$D$64,Parametres!$D$65)</f>
        <v/>
      </c>
      <c r="V6" s="168">
        <f>CHOOSE(V$2,Parametres!$D$63,Parametres!$D$64,Parametres!$D$65)</f>
        <v/>
      </c>
      <c r="W6" s="168">
        <f>CHOOSE(W$2,Parametres!$D$63,Parametres!$D$64,Parametres!$D$65)</f>
        <v/>
      </c>
      <c r="X6" s="168">
        <f>CHOOSE(X$2,Parametres!$D$63,Parametres!$D$64,Parametres!$D$65)</f>
        <v/>
      </c>
      <c r="Y6" s="168">
        <f>CHOOSE(Y$2,Parametres!$D$63,Parametres!$D$64,Parametres!$D$65)</f>
        <v/>
      </c>
      <c r="Z6" s="168">
        <f>CHOOSE(Z$2,Parametres!$D$63,Parametres!$D$64,Parametres!$D$65)</f>
        <v/>
      </c>
      <c r="AA6" s="168">
        <f>CHOOSE(AA$2,Parametres!$D$63,Parametres!$D$64,Parametres!$D$65)</f>
        <v/>
      </c>
      <c r="AB6" s="168">
        <f>CHOOSE(AB$2,Parametres!$D$63,Parametres!$D$64,Parametres!$D$65)</f>
        <v/>
      </c>
      <c r="AC6" s="168">
        <f>CHOOSE(AC$2,Parametres!$D$63,Parametres!$D$64,Parametres!$D$65)</f>
        <v/>
      </c>
      <c r="AD6" s="168">
        <f>CHOOSE(AD$2,Parametres!$D$63,Parametres!$D$64,Parametres!$D$65)</f>
        <v/>
      </c>
      <c r="AE6" s="168">
        <f>CHOOSE(AE$2,Parametres!$D$63,Parametres!$D$64,Parametres!$D$65)</f>
        <v/>
      </c>
      <c r="AF6" s="168">
        <f>CHOOSE(AF$2,Parametres!$D$63,Parametres!$D$64,Parametres!$D$65)</f>
        <v/>
      </c>
      <c r="AG6" s="168">
        <f>CHOOSE(AG$2,Parametres!$D$63,Parametres!$D$64,Parametres!$D$65)</f>
        <v/>
      </c>
      <c r="AH6" s="168">
        <f>CHOOSE(AH$2,Parametres!$D$63,Parametres!$D$64,Parametres!$D$65)</f>
        <v/>
      </c>
      <c r="AI6" s="168">
        <f>CHOOSE(AI$2,Parametres!$D$63,Parametres!$D$64,Parametres!$D$65)</f>
        <v/>
      </c>
      <c r="AJ6" s="168">
        <f>CHOOSE(AJ$2,Parametres!$D$63,Parametres!$D$64,Parametres!$D$65)</f>
        <v/>
      </c>
      <c r="AK6" s="168">
        <f>CHOOSE(AK$2,Parametres!$D$63,Parametres!$D$64,Parametres!$D$65)</f>
        <v/>
      </c>
    </row>
    <row r="7" s="143">
      <c r="A7" s="149" t="inlineStr">
        <is>
          <t>Multiplicateur de croissance lié au budget (élasticité, budget du mois précédent, borné)</t>
        </is>
      </c>
      <c r="B7" s="179">
        <f>1</f>
        <v/>
      </c>
      <c r="C7" s="154">
        <f>MIN(Parametres!$D$69,MAX(Parametres!$D$68,IF(Parametres!$D$66=0,1,(B6/Parametres!$D$66)^Parametres!$D$67)))</f>
        <v/>
      </c>
      <c r="D7" s="154">
        <f>MIN(Parametres!$D$69,MAX(Parametres!$D$68,IF(Parametres!$D$66=0,1,(C6/Parametres!$D$66)^Parametres!$D$67)))</f>
        <v/>
      </c>
      <c r="E7" s="154">
        <f>MIN(Parametres!$D$69,MAX(Parametres!$D$68,IF(Parametres!$D$66=0,1,(D6/Parametres!$D$66)^Parametres!$D$67)))</f>
        <v/>
      </c>
      <c r="F7" s="154">
        <f>MIN(Parametres!$D$69,MAX(Parametres!$D$68,IF(Parametres!$D$66=0,1,(E6/Parametres!$D$66)^Parametres!$D$67)))</f>
        <v/>
      </c>
      <c r="G7" s="154">
        <f>MIN(Parametres!$D$69,MAX(Parametres!$D$68,IF(Parametres!$D$66=0,1,(F6/Parametres!$D$66)^Parametres!$D$67)))</f>
        <v/>
      </c>
      <c r="H7" s="154">
        <f>MIN(Parametres!$D$69,MAX(Parametres!$D$68,IF(Parametres!$D$66=0,1,(G6/Parametres!$D$66)^Parametres!$D$67)))</f>
        <v/>
      </c>
      <c r="I7" s="154">
        <f>MIN(Parametres!$D$69,MAX(Parametres!$D$68,IF(Parametres!$D$66=0,1,(H6/Parametres!$D$66)^Parametres!$D$67)))</f>
        <v/>
      </c>
      <c r="J7" s="154">
        <f>MIN(Parametres!$D$69,MAX(Parametres!$D$68,IF(Parametres!$D$66=0,1,(I6/Parametres!$D$66)^Parametres!$D$67)))</f>
        <v/>
      </c>
      <c r="K7" s="154">
        <f>MIN(Parametres!$D$69,MAX(Parametres!$D$68,IF(Parametres!$D$66=0,1,(J6/Parametres!$D$66)^Parametres!$D$67)))</f>
        <v/>
      </c>
      <c r="L7" s="154">
        <f>MIN(Parametres!$D$69,MAX(Parametres!$D$68,IF(Parametres!$D$66=0,1,(K6/Parametres!$D$66)^Parametres!$D$67)))</f>
        <v/>
      </c>
      <c r="M7" s="154">
        <f>MIN(Parametres!$D$69,MAX(Parametres!$D$68,IF(Parametres!$D$66=0,1,(L6/Parametres!$D$66)^Parametres!$D$67)))</f>
        <v/>
      </c>
      <c r="N7" s="154">
        <f>MIN(Parametres!$D$69,MAX(Parametres!$D$68,IF(Parametres!$D$66=0,1,(M6/Parametres!$D$66)^Parametres!$D$67)))</f>
        <v/>
      </c>
      <c r="O7" s="154">
        <f>MIN(Parametres!$D$69,MAX(Parametres!$D$68,IF(Parametres!$D$66=0,1,(N6/Parametres!$D$66)^Parametres!$D$67)))</f>
        <v/>
      </c>
      <c r="P7" s="154">
        <f>MIN(Parametres!$D$69,MAX(Parametres!$D$68,IF(Parametres!$D$66=0,1,(O6/Parametres!$D$66)^Parametres!$D$67)))</f>
        <v/>
      </c>
      <c r="Q7" s="154">
        <f>MIN(Parametres!$D$69,MAX(Parametres!$D$68,IF(Parametres!$D$66=0,1,(P6/Parametres!$D$66)^Parametres!$D$67)))</f>
        <v/>
      </c>
      <c r="R7" s="154">
        <f>MIN(Parametres!$D$69,MAX(Parametres!$D$68,IF(Parametres!$D$66=0,1,(Q6/Parametres!$D$66)^Parametres!$D$67)))</f>
        <v/>
      </c>
      <c r="S7" s="154">
        <f>MIN(Parametres!$D$69,MAX(Parametres!$D$68,IF(Parametres!$D$66=0,1,(R6/Parametres!$D$66)^Parametres!$D$67)))</f>
        <v/>
      </c>
      <c r="T7" s="154">
        <f>MIN(Parametres!$D$69,MAX(Parametres!$D$68,IF(Parametres!$D$66=0,1,(S6/Parametres!$D$66)^Parametres!$D$67)))</f>
        <v/>
      </c>
      <c r="U7" s="154">
        <f>MIN(Parametres!$D$69,MAX(Parametres!$D$68,IF(Parametres!$D$66=0,1,(T6/Parametres!$D$66)^Parametres!$D$67)))</f>
        <v/>
      </c>
      <c r="V7" s="154">
        <f>MIN(Parametres!$D$69,MAX(Parametres!$D$68,IF(Parametres!$D$66=0,1,(U6/Parametres!$D$66)^Parametres!$D$67)))</f>
        <v/>
      </c>
      <c r="W7" s="154">
        <f>MIN(Parametres!$D$69,MAX(Parametres!$D$68,IF(Parametres!$D$66=0,1,(V6/Parametres!$D$66)^Parametres!$D$67)))</f>
        <v/>
      </c>
      <c r="X7" s="154">
        <f>MIN(Parametres!$D$69,MAX(Parametres!$D$68,IF(Parametres!$D$66=0,1,(W6/Parametres!$D$66)^Parametres!$D$67)))</f>
        <v/>
      </c>
      <c r="Y7" s="154">
        <f>MIN(Parametres!$D$69,MAX(Parametres!$D$68,IF(Parametres!$D$66=0,1,(X6/Parametres!$D$66)^Parametres!$D$67)))</f>
        <v/>
      </c>
      <c r="Z7" s="154">
        <f>MIN(Parametres!$D$69,MAX(Parametres!$D$68,IF(Parametres!$D$66=0,1,(Y6/Parametres!$D$66)^Parametres!$D$67)))</f>
        <v/>
      </c>
      <c r="AA7" s="154">
        <f>MIN(Parametres!$D$69,MAX(Parametres!$D$68,IF(Parametres!$D$66=0,1,(Z6/Parametres!$D$66)^Parametres!$D$67)))</f>
        <v/>
      </c>
      <c r="AB7" s="154">
        <f>MIN(Parametres!$D$69,MAX(Parametres!$D$68,IF(Parametres!$D$66=0,1,(AA6/Parametres!$D$66)^Parametres!$D$67)))</f>
        <v/>
      </c>
      <c r="AC7" s="154">
        <f>MIN(Parametres!$D$69,MAX(Parametres!$D$68,IF(Parametres!$D$66=0,1,(AB6/Parametres!$D$66)^Parametres!$D$67)))</f>
        <v/>
      </c>
      <c r="AD7" s="154">
        <f>MIN(Parametres!$D$69,MAX(Parametres!$D$68,IF(Parametres!$D$66=0,1,(AC6/Parametres!$D$66)^Parametres!$D$67)))</f>
        <v/>
      </c>
      <c r="AE7" s="154">
        <f>MIN(Parametres!$D$69,MAX(Parametres!$D$68,IF(Parametres!$D$66=0,1,(AD6/Parametres!$D$66)^Parametres!$D$67)))</f>
        <v/>
      </c>
      <c r="AF7" s="154">
        <f>MIN(Parametres!$D$69,MAX(Parametres!$D$68,IF(Parametres!$D$66=0,1,(AE6/Parametres!$D$66)^Parametres!$D$67)))</f>
        <v/>
      </c>
      <c r="AG7" s="154">
        <f>MIN(Parametres!$D$69,MAX(Parametres!$D$68,IF(Parametres!$D$66=0,1,(AF6/Parametres!$D$66)^Parametres!$D$67)))</f>
        <v/>
      </c>
      <c r="AH7" s="154">
        <f>MIN(Parametres!$D$69,MAX(Parametres!$D$68,IF(Parametres!$D$66=0,1,(AG6/Parametres!$D$66)^Parametres!$D$67)))</f>
        <v/>
      </c>
      <c r="AI7" s="154">
        <f>MIN(Parametres!$D$69,MAX(Parametres!$D$68,IF(Parametres!$D$66=0,1,(AH6/Parametres!$D$66)^Parametres!$D$67)))</f>
        <v/>
      </c>
      <c r="AJ7" s="154">
        <f>MIN(Parametres!$D$69,MAX(Parametres!$D$68,IF(Parametres!$D$66=0,1,(AI6/Parametres!$D$66)^Parametres!$D$67)))</f>
        <v/>
      </c>
      <c r="AK7" s="154">
        <f>MIN(Parametres!$D$69,MAX(Parametres!$D$68,IF(Parametres!$D$66=0,1,(AJ6/Parametres!$D$66)^Parametres!$D$67)))</f>
        <v/>
      </c>
    </row>
    <row r="8" s="143">
      <c r="A8" s="149" t="inlineStr">
        <is>
          <t>Croissance gelée (stress test : retard de lancement) — 1 = oui</t>
        </is>
      </c>
      <c r="B8" s="153">
        <f>IF(AND(Parametres!$B$158=1,B$3&lt;=Parametres!$B$160),1,0)</f>
        <v/>
      </c>
      <c r="C8" s="153">
        <f>IF(AND(Parametres!$B$158=1,C$3&lt;=Parametres!$B$160),1,0)</f>
        <v/>
      </c>
      <c r="D8" s="153">
        <f>IF(AND(Parametres!$B$158=1,D$3&lt;=Parametres!$B$160),1,0)</f>
        <v/>
      </c>
      <c r="E8" s="153">
        <f>IF(AND(Parametres!$B$158=1,E$3&lt;=Parametres!$B$160),1,0)</f>
        <v/>
      </c>
      <c r="F8" s="153">
        <f>IF(AND(Parametres!$B$158=1,F$3&lt;=Parametres!$B$160),1,0)</f>
        <v/>
      </c>
      <c r="G8" s="153">
        <f>IF(AND(Parametres!$B$158=1,G$3&lt;=Parametres!$B$160),1,0)</f>
        <v/>
      </c>
      <c r="H8" s="153">
        <f>IF(AND(Parametres!$B$158=1,H$3&lt;=Parametres!$B$160),1,0)</f>
        <v/>
      </c>
      <c r="I8" s="153">
        <f>IF(AND(Parametres!$B$158=1,I$3&lt;=Parametres!$B$160),1,0)</f>
        <v/>
      </c>
      <c r="J8" s="153">
        <f>IF(AND(Parametres!$B$158=1,J$3&lt;=Parametres!$B$160),1,0)</f>
        <v/>
      </c>
      <c r="K8" s="153">
        <f>IF(AND(Parametres!$B$158=1,K$3&lt;=Parametres!$B$160),1,0)</f>
        <v/>
      </c>
      <c r="L8" s="153">
        <f>IF(AND(Parametres!$B$158=1,L$3&lt;=Parametres!$B$160),1,0)</f>
        <v/>
      </c>
      <c r="M8" s="153">
        <f>IF(AND(Parametres!$B$158=1,M$3&lt;=Parametres!$B$160),1,0)</f>
        <v/>
      </c>
      <c r="N8" s="153">
        <f>IF(AND(Parametres!$B$158=1,N$3&lt;=Parametres!$B$160),1,0)</f>
        <v/>
      </c>
      <c r="O8" s="153">
        <f>IF(AND(Parametres!$B$158=1,O$3&lt;=Parametres!$B$160),1,0)</f>
        <v/>
      </c>
      <c r="P8" s="153">
        <f>IF(AND(Parametres!$B$158=1,P$3&lt;=Parametres!$B$160),1,0)</f>
        <v/>
      </c>
      <c r="Q8" s="153">
        <f>IF(AND(Parametres!$B$158=1,Q$3&lt;=Parametres!$B$160),1,0)</f>
        <v/>
      </c>
      <c r="R8" s="153">
        <f>IF(AND(Parametres!$B$158=1,R$3&lt;=Parametres!$B$160),1,0)</f>
        <v/>
      </c>
      <c r="S8" s="153">
        <f>IF(AND(Parametres!$B$158=1,S$3&lt;=Parametres!$B$160),1,0)</f>
        <v/>
      </c>
      <c r="T8" s="153">
        <f>IF(AND(Parametres!$B$158=1,T$3&lt;=Parametres!$B$160),1,0)</f>
        <v/>
      </c>
      <c r="U8" s="153">
        <f>IF(AND(Parametres!$B$158=1,U$3&lt;=Parametres!$B$160),1,0)</f>
        <v/>
      </c>
      <c r="V8" s="153">
        <f>IF(AND(Parametres!$B$158=1,V$3&lt;=Parametres!$B$160),1,0)</f>
        <v/>
      </c>
      <c r="W8" s="153">
        <f>IF(AND(Parametres!$B$158=1,W$3&lt;=Parametres!$B$160),1,0)</f>
        <v/>
      </c>
      <c r="X8" s="153">
        <f>IF(AND(Parametres!$B$158=1,X$3&lt;=Parametres!$B$160),1,0)</f>
        <v/>
      </c>
      <c r="Y8" s="153">
        <f>IF(AND(Parametres!$B$158=1,Y$3&lt;=Parametres!$B$160),1,0)</f>
        <v/>
      </c>
      <c r="Z8" s="153">
        <f>IF(AND(Parametres!$B$158=1,Z$3&lt;=Parametres!$B$160),1,0)</f>
        <v/>
      </c>
      <c r="AA8" s="153">
        <f>IF(AND(Parametres!$B$158=1,AA$3&lt;=Parametres!$B$160),1,0)</f>
        <v/>
      </c>
      <c r="AB8" s="153">
        <f>IF(AND(Parametres!$B$158=1,AB$3&lt;=Parametres!$B$160),1,0)</f>
        <v/>
      </c>
      <c r="AC8" s="153">
        <f>IF(AND(Parametres!$B$158=1,AC$3&lt;=Parametres!$B$160),1,0)</f>
        <v/>
      </c>
      <c r="AD8" s="153">
        <f>IF(AND(Parametres!$B$158=1,AD$3&lt;=Parametres!$B$160),1,0)</f>
        <v/>
      </c>
      <c r="AE8" s="153">
        <f>IF(AND(Parametres!$B$158=1,AE$3&lt;=Parametres!$B$160),1,0)</f>
        <v/>
      </c>
      <c r="AF8" s="153">
        <f>IF(AND(Parametres!$B$158=1,AF$3&lt;=Parametres!$B$160),1,0)</f>
        <v/>
      </c>
      <c r="AG8" s="153">
        <f>IF(AND(Parametres!$B$158=1,AG$3&lt;=Parametres!$B$160),1,0)</f>
        <v/>
      </c>
      <c r="AH8" s="153">
        <f>IF(AND(Parametres!$B$158=1,AH$3&lt;=Parametres!$B$160),1,0)</f>
        <v/>
      </c>
      <c r="AI8" s="153">
        <f>IF(AND(Parametres!$B$158=1,AI$3&lt;=Parametres!$B$160),1,0)</f>
        <v/>
      </c>
      <c r="AJ8" s="153">
        <f>IF(AND(Parametres!$B$158=1,AJ$3&lt;=Parametres!$B$160),1,0)</f>
        <v/>
      </c>
      <c r="AK8" s="153">
        <f>IF(AND(Parametres!$B$158=1,AK$3&lt;=Parametres!$B$160),1,0)</f>
        <v/>
      </c>
    </row>
    <row r="9" s="143">
      <c r="A9" s="149" t="n"/>
      <c r="B9" s="149" t="n"/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149" t="n"/>
      <c r="O9" s="149" t="n"/>
      <c r="P9" s="149" t="n"/>
      <c r="Q9" s="149" t="n"/>
      <c r="R9" s="149" t="n"/>
      <c r="S9" s="149" t="n"/>
      <c r="T9" s="149" t="n"/>
      <c r="U9" s="149" t="n"/>
      <c r="V9" s="149" t="n"/>
      <c r="W9" s="149" t="n"/>
      <c r="X9" s="149" t="n"/>
      <c r="Y9" s="149" t="n"/>
      <c r="Z9" s="149" t="n"/>
      <c r="AA9" s="149" t="n"/>
      <c r="AB9" s="149" t="n"/>
      <c r="AC9" s="149" t="n"/>
      <c r="AD9" s="149" t="n"/>
      <c r="AE9" s="149" t="n"/>
      <c r="AF9" s="149" t="n"/>
      <c r="AG9" s="149" t="n"/>
      <c r="AH9" s="149" t="n"/>
      <c r="AI9" s="149" t="n"/>
      <c r="AJ9" s="149" t="n"/>
      <c r="AK9" s="149" t="n"/>
    </row>
    <row r="10" ht="18" customHeight="1" s="143">
      <c r="A10" s="150" t="inlineStr">
        <is>
          <t>OFFRE &amp; DEMANDE — PRESTATIONS AMPIO (prestataires, capacité, GMV, commissions, abonnements Ampio+)</t>
        </is>
      </c>
      <c r="B10" s="150" t="n"/>
      <c r="C10" s="150" t="n"/>
      <c r="D10" s="150" t="n"/>
      <c r="E10" s="150" t="n"/>
      <c r="F10" s="150" t="n"/>
      <c r="G10" s="150" t="n"/>
      <c r="H10" s="150" t="n"/>
      <c r="I10" s="150" t="n"/>
      <c r="J10" s="150" t="n"/>
      <c r="K10" s="150" t="n"/>
      <c r="L10" s="150" t="n"/>
      <c r="M10" s="150" t="n"/>
      <c r="N10" s="150" t="n"/>
      <c r="O10" s="150" t="n"/>
      <c r="P10" s="150" t="n"/>
      <c r="Q10" s="150" t="n"/>
      <c r="R10" s="150" t="n"/>
      <c r="S10" s="150" t="n"/>
      <c r="T10" s="150" t="n"/>
      <c r="U10" s="150" t="n"/>
      <c r="V10" s="150" t="n"/>
      <c r="W10" s="150" t="n"/>
      <c r="X10" s="150" t="n"/>
      <c r="Y10" s="150" t="n"/>
      <c r="Z10" s="150" t="n"/>
      <c r="AA10" s="150" t="n"/>
      <c r="AB10" s="150" t="n"/>
      <c r="AC10" s="150" t="n"/>
      <c r="AD10" s="150" t="n"/>
      <c r="AE10" s="150" t="n"/>
      <c r="AF10" s="150" t="n"/>
      <c r="AG10" s="150" t="n"/>
      <c r="AH10" s="150" t="n"/>
      <c r="AI10" s="150" t="n"/>
      <c r="AJ10" s="150" t="n"/>
      <c r="AK10" s="150" t="n"/>
    </row>
    <row r="11" s="143">
      <c r="A11" s="149" t="inlineStr">
        <is>
          <t>Nouveaux prestataires onboardés (M1 = stock initial)</t>
        </is>
      </c>
      <c r="B11" s="155">
        <f>Parametres!$D$81*(1-IF(Parametres!$B$158=1,Parametres!$B$159,0))</f>
        <v/>
      </c>
      <c r="C11" s="155">
        <f>IF(B70=1,Parametres!$D$83,Parametres!$D$82)</f>
        <v/>
      </c>
      <c r="D11" s="155">
        <f>IF(C70=1,Parametres!$D$83,Parametres!$D$82)</f>
        <v/>
      </c>
      <c r="E11" s="155">
        <f>IF(D70=1,Parametres!$D$83,Parametres!$D$82)</f>
        <v/>
      </c>
      <c r="F11" s="155">
        <f>IF(E70=1,Parametres!$D$83,Parametres!$D$82)</f>
        <v/>
      </c>
      <c r="G11" s="155">
        <f>IF(F70=1,Parametres!$D$83,Parametres!$D$82)</f>
        <v/>
      </c>
      <c r="H11" s="155">
        <f>IF(G70=1,Parametres!$D$83,Parametres!$D$82)</f>
        <v/>
      </c>
      <c r="I11" s="155">
        <f>IF(H70=1,Parametres!$D$83,Parametres!$D$82)</f>
        <v/>
      </c>
      <c r="J11" s="155">
        <f>IF(I70=1,Parametres!$D$83,Parametres!$D$82)</f>
        <v/>
      </c>
      <c r="K11" s="155">
        <f>IF(J70=1,Parametres!$D$83,Parametres!$D$82)</f>
        <v/>
      </c>
      <c r="L11" s="155">
        <f>IF(K70=1,Parametres!$D$83,Parametres!$D$82)</f>
        <v/>
      </c>
      <c r="M11" s="155">
        <f>IF(L70=1,Parametres!$D$83,Parametres!$D$82)</f>
        <v/>
      </c>
      <c r="N11" s="155">
        <f>IF(M70=1,Parametres!$D$83,Parametres!$D$82)</f>
        <v/>
      </c>
      <c r="O11" s="155">
        <f>IF(N70=1,Parametres!$D$83,Parametres!$D$82)</f>
        <v/>
      </c>
      <c r="P11" s="155">
        <f>IF(O70=1,Parametres!$D$83,Parametres!$D$82)</f>
        <v/>
      </c>
      <c r="Q11" s="155">
        <f>IF(P70=1,Parametres!$D$83,Parametres!$D$82)</f>
        <v/>
      </c>
      <c r="R11" s="155">
        <f>IF(Q70=1,Parametres!$D$83,Parametres!$D$82)</f>
        <v/>
      </c>
      <c r="S11" s="155">
        <f>IF(R70=1,Parametres!$D$83,Parametres!$D$82)</f>
        <v/>
      </c>
      <c r="T11" s="155">
        <f>IF(S70=1,Parametres!$D$83,Parametres!$D$82)</f>
        <v/>
      </c>
      <c r="U11" s="155">
        <f>IF(T70=1,Parametres!$D$83,Parametres!$D$82)</f>
        <v/>
      </c>
      <c r="V11" s="155">
        <f>IF(U70=1,Parametres!$D$83,Parametres!$D$82)</f>
        <v/>
      </c>
      <c r="W11" s="155">
        <f>IF(V70=1,Parametres!$D$83,Parametres!$D$82)</f>
        <v/>
      </c>
      <c r="X11" s="155">
        <f>IF(W70=1,Parametres!$D$83,Parametres!$D$82)</f>
        <v/>
      </c>
      <c r="Y11" s="155">
        <f>IF(X70=1,Parametres!$D$83,Parametres!$D$82)</f>
        <v/>
      </c>
      <c r="Z11" s="155">
        <f>IF(Y70=1,Parametres!$D$83,Parametres!$D$82)</f>
        <v/>
      </c>
      <c r="AA11" s="155">
        <f>IF(Z70=1,Parametres!$D$83,Parametres!$D$82)</f>
        <v/>
      </c>
      <c r="AB11" s="155">
        <f>IF(AA70=1,Parametres!$D$83,Parametres!$D$82)</f>
        <v/>
      </c>
      <c r="AC11" s="155">
        <f>IF(AB70=1,Parametres!$D$83,Parametres!$D$82)</f>
        <v/>
      </c>
      <c r="AD11" s="155">
        <f>IF(AC70=1,Parametres!$D$83,Parametres!$D$82)</f>
        <v/>
      </c>
      <c r="AE11" s="155">
        <f>IF(AD70=1,Parametres!$D$83,Parametres!$D$82)</f>
        <v/>
      </c>
      <c r="AF11" s="155">
        <f>IF(AE70=1,Parametres!$D$83,Parametres!$D$82)</f>
        <v/>
      </c>
      <c r="AG11" s="155">
        <f>IF(AF70=1,Parametres!$D$83,Parametres!$D$82)</f>
        <v/>
      </c>
      <c r="AH11" s="155">
        <f>IF(AG70=1,Parametres!$D$83,Parametres!$D$82)</f>
        <v/>
      </c>
      <c r="AI11" s="155">
        <f>IF(AH70=1,Parametres!$D$83,Parametres!$D$82)</f>
        <v/>
      </c>
      <c r="AJ11" s="155">
        <f>IF(AI70=1,Parametres!$D$83,Parametres!$D$82)</f>
        <v/>
      </c>
      <c r="AK11" s="155">
        <f>IF(AJ70=1,Parametres!$D$83,Parametres!$D$82)</f>
        <v/>
      </c>
    </row>
    <row r="12" s="143">
      <c r="A12" s="149" t="inlineStr">
        <is>
          <t>Prestataires perdus (churn)</t>
        </is>
      </c>
      <c r="B12" s="202">
        <f>0</f>
        <v/>
      </c>
      <c r="C12" s="155">
        <f>B13*Parametres!$D$84</f>
        <v/>
      </c>
      <c r="D12" s="155">
        <f>C13*Parametres!$D$84</f>
        <v/>
      </c>
      <c r="E12" s="155">
        <f>D13*Parametres!$D$84</f>
        <v/>
      </c>
      <c r="F12" s="155">
        <f>E13*Parametres!$D$84</f>
        <v/>
      </c>
      <c r="G12" s="155">
        <f>F13*Parametres!$D$84</f>
        <v/>
      </c>
      <c r="H12" s="155">
        <f>G13*Parametres!$D$84</f>
        <v/>
      </c>
      <c r="I12" s="155">
        <f>H13*Parametres!$D$84</f>
        <v/>
      </c>
      <c r="J12" s="155">
        <f>I13*Parametres!$D$84</f>
        <v/>
      </c>
      <c r="K12" s="155">
        <f>J13*Parametres!$D$84</f>
        <v/>
      </c>
      <c r="L12" s="155">
        <f>K13*Parametres!$D$84</f>
        <v/>
      </c>
      <c r="M12" s="155">
        <f>L13*Parametres!$D$84</f>
        <v/>
      </c>
      <c r="N12" s="155">
        <f>M13*Parametres!$D$84</f>
        <v/>
      </c>
      <c r="O12" s="155">
        <f>N13*Parametres!$D$84</f>
        <v/>
      </c>
      <c r="P12" s="155">
        <f>O13*Parametres!$D$84</f>
        <v/>
      </c>
      <c r="Q12" s="155">
        <f>P13*Parametres!$D$84</f>
        <v/>
      </c>
      <c r="R12" s="155">
        <f>Q13*Parametres!$D$84</f>
        <v/>
      </c>
      <c r="S12" s="155">
        <f>R13*Parametres!$D$84</f>
        <v/>
      </c>
      <c r="T12" s="155">
        <f>S13*Parametres!$D$84</f>
        <v/>
      </c>
      <c r="U12" s="155">
        <f>T13*Parametres!$D$84</f>
        <v/>
      </c>
      <c r="V12" s="155">
        <f>U13*Parametres!$D$84</f>
        <v/>
      </c>
      <c r="W12" s="155">
        <f>V13*Parametres!$D$84</f>
        <v/>
      </c>
      <c r="X12" s="155">
        <f>W13*Parametres!$D$84</f>
        <v/>
      </c>
      <c r="Y12" s="155">
        <f>X13*Parametres!$D$84</f>
        <v/>
      </c>
      <c r="Z12" s="155">
        <f>Y13*Parametres!$D$84</f>
        <v/>
      </c>
      <c r="AA12" s="155">
        <f>Z13*Parametres!$D$84</f>
        <v/>
      </c>
      <c r="AB12" s="155">
        <f>AA13*Parametres!$D$84</f>
        <v/>
      </c>
      <c r="AC12" s="155">
        <f>AB13*Parametres!$D$84</f>
        <v/>
      </c>
      <c r="AD12" s="155">
        <f>AC13*Parametres!$D$84</f>
        <v/>
      </c>
      <c r="AE12" s="155">
        <f>AD13*Parametres!$D$84</f>
        <v/>
      </c>
      <c r="AF12" s="155">
        <f>AE13*Parametres!$D$84</f>
        <v/>
      </c>
      <c r="AG12" s="155">
        <f>AF13*Parametres!$D$84</f>
        <v/>
      </c>
      <c r="AH12" s="155">
        <f>AG13*Parametres!$D$84</f>
        <v/>
      </c>
      <c r="AI12" s="155">
        <f>AH13*Parametres!$D$84</f>
        <v/>
      </c>
      <c r="AJ12" s="155">
        <f>AI13*Parametres!$D$84</f>
        <v/>
      </c>
      <c r="AK12" s="155">
        <f>AJ13*Parametres!$D$84</f>
        <v/>
      </c>
    </row>
    <row r="13" s="143">
      <c r="A13" s="147" t="inlineStr">
        <is>
          <t>Prestataires actifs (stock × (1 − churn) + nouveaux)</t>
        </is>
      </c>
      <c r="B13" s="203">
        <f>B11</f>
        <v/>
      </c>
      <c r="C13" s="204">
        <f>B13*(1-Parametres!$D$84)+C11</f>
        <v/>
      </c>
      <c r="D13" s="204">
        <f>C13*(1-Parametres!$D$84)+D11</f>
        <v/>
      </c>
      <c r="E13" s="204">
        <f>D13*(1-Parametres!$D$84)+E11</f>
        <v/>
      </c>
      <c r="F13" s="204">
        <f>E13*(1-Parametres!$D$84)+F11</f>
        <v/>
      </c>
      <c r="G13" s="204">
        <f>F13*(1-Parametres!$D$84)+G11</f>
        <v/>
      </c>
      <c r="H13" s="204">
        <f>G13*(1-Parametres!$D$84)+H11</f>
        <v/>
      </c>
      <c r="I13" s="204">
        <f>H13*(1-Parametres!$D$84)+I11</f>
        <v/>
      </c>
      <c r="J13" s="204">
        <f>I13*(1-Parametres!$D$84)+J11</f>
        <v/>
      </c>
      <c r="K13" s="204">
        <f>J13*(1-Parametres!$D$84)+K11</f>
        <v/>
      </c>
      <c r="L13" s="204">
        <f>K13*(1-Parametres!$D$84)+L11</f>
        <v/>
      </c>
      <c r="M13" s="204">
        <f>L13*(1-Parametres!$D$84)+M11</f>
        <v/>
      </c>
      <c r="N13" s="204">
        <f>M13*(1-Parametres!$D$84)+N11</f>
        <v/>
      </c>
      <c r="O13" s="204">
        <f>N13*(1-Parametres!$D$84)+O11</f>
        <v/>
      </c>
      <c r="P13" s="204">
        <f>O13*(1-Parametres!$D$84)+P11</f>
        <v/>
      </c>
      <c r="Q13" s="204">
        <f>P13*(1-Parametres!$D$84)+Q11</f>
        <v/>
      </c>
      <c r="R13" s="204">
        <f>Q13*(1-Parametres!$D$84)+R11</f>
        <v/>
      </c>
      <c r="S13" s="204">
        <f>R13*(1-Parametres!$D$84)+S11</f>
        <v/>
      </c>
      <c r="T13" s="204">
        <f>S13*(1-Parametres!$D$84)+T11</f>
        <v/>
      </c>
      <c r="U13" s="204">
        <f>T13*(1-Parametres!$D$84)+U11</f>
        <v/>
      </c>
      <c r="V13" s="204">
        <f>U13*(1-Parametres!$D$84)+V11</f>
        <v/>
      </c>
      <c r="W13" s="204">
        <f>V13*(1-Parametres!$D$84)+W11</f>
        <v/>
      </c>
      <c r="X13" s="204">
        <f>W13*(1-Parametres!$D$84)+X11</f>
        <v/>
      </c>
      <c r="Y13" s="204">
        <f>X13*(1-Parametres!$D$84)+Y11</f>
        <v/>
      </c>
      <c r="Z13" s="204">
        <f>Y13*(1-Parametres!$D$84)+Z11</f>
        <v/>
      </c>
      <c r="AA13" s="204">
        <f>Z13*(1-Parametres!$D$84)+AA11</f>
        <v/>
      </c>
      <c r="AB13" s="204">
        <f>AA13*(1-Parametres!$D$84)+AB11</f>
        <v/>
      </c>
      <c r="AC13" s="204">
        <f>AB13*(1-Parametres!$D$84)+AC11</f>
        <v/>
      </c>
      <c r="AD13" s="204">
        <f>AC13*(1-Parametres!$D$84)+AD11</f>
        <v/>
      </c>
      <c r="AE13" s="204">
        <f>AD13*(1-Parametres!$D$84)+AE11</f>
        <v/>
      </c>
      <c r="AF13" s="204">
        <f>AE13*(1-Parametres!$D$84)+AF11</f>
        <v/>
      </c>
      <c r="AG13" s="204">
        <f>AF13*(1-Parametres!$D$84)+AG11</f>
        <v/>
      </c>
      <c r="AH13" s="204">
        <f>AG13*(1-Parametres!$D$84)+AH11</f>
        <v/>
      </c>
      <c r="AI13" s="204">
        <f>AH13*(1-Parametres!$D$84)+AI11</f>
        <v/>
      </c>
      <c r="AJ13" s="204">
        <f>AI13*(1-Parametres!$D$84)+AJ11</f>
        <v/>
      </c>
      <c r="AK13" s="204">
        <f>AJ13*(1-Parametres!$D$84)+AK11</f>
        <v/>
      </c>
    </row>
    <row r="14" s="143">
      <c r="A14" s="149" t="inlineStr">
        <is>
          <t>Capacité mensuelle (actifs × max par mois × fill rate max)</t>
        </is>
      </c>
      <c r="B14" s="155">
        <f>B13*Parametres!$D$85*Parametres!$D$95</f>
        <v/>
      </c>
      <c r="C14" s="155">
        <f>C13*Parametres!$D$85*Parametres!$D$95</f>
        <v/>
      </c>
      <c r="D14" s="155">
        <f>D13*Parametres!$D$85*Parametres!$D$95</f>
        <v/>
      </c>
      <c r="E14" s="155">
        <f>E13*Parametres!$D$85*Parametres!$D$95</f>
        <v/>
      </c>
      <c r="F14" s="155">
        <f>F13*Parametres!$D$85*Parametres!$D$95</f>
        <v/>
      </c>
      <c r="G14" s="155">
        <f>G13*Parametres!$D$85*Parametres!$D$95</f>
        <v/>
      </c>
      <c r="H14" s="155">
        <f>H13*Parametres!$D$85*Parametres!$D$95</f>
        <v/>
      </c>
      <c r="I14" s="155">
        <f>I13*Parametres!$D$85*Parametres!$D$95</f>
        <v/>
      </c>
      <c r="J14" s="155">
        <f>J13*Parametres!$D$85*Parametres!$D$95</f>
        <v/>
      </c>
      <c r="K14" s="155">
        <f>K13*Parametres!$D$85*Parametres!$D$95</f>
        <v/>
      </c>
      <c r="L14" s="155">
        <f>L13*Parametres!$D$85*Parametres!$D$95</f>
        <v/>
      </c>
      <c r="M14" s="155">
        <f>M13*Parametres!$D$85*Parametres!$D$95</f>
        <v/>
      </c>
      <c r="N14" s="155">
        <f>N13*Parametres!$D$85*Parametres!$D$95</f>
        <v/>
      </c>
      <c r="O14" s="155">
        <f>O13*Parametres!$D$85*Parametres!$D$95</f>
        <v/>
      </c>
      <c r="P14" s="155">
        <f>P13*Parametres!$D$85*Parametres!$D$95</f>
        <v/>
      </c>
      <c r="Q14" s="155">
        <f>Q13*Parametres!$D$85*Parametres!$D$95</f>
        <v/>
      </c>
      <c r="R14" s="155">
        <f>R13*Parametres!$D$85*Parametres!$D$95</f>
        <v/>
      </c>
      <c r="S14" s="155">
        <f>S13*Parametres!$D$85*Parametres!$D$95</f>
        <v/>
      </c>
      <c r="T14" s="155">
        <f>T13*Parametres!$D$85*Parametres!$D$95</f>
        <v/>
      </c>
      <c r="U14" s="155">
        <f>U13*Parametres!$D$85*Parametres!$D$95</f>
        <v/>
      </c>
      <c r="V14" s="155">
        <f>V13*Parametres!$D$85*Parametres!$D$95</f>
        <v/>
      </c>
      <c r="W14" s="155">
        <f>W13*Parametres!$D$85*Parametres!$D$95</f>
        <v/>
      </c>
      <c r="X14" s="155">
        <f>X13*Parametres!$D$85*Parametres!$D$95</f>
        <v/>
      </c>
      <c r="Y14" s="155">
        <f>Y13*Parametres!$D$85*Parametres!$D$95</f>
        <v/>
      </c>
      <c r="Z14" s="155">
        <f>Z13*Parametres!$D$85*Parametres!$D$95</f>
        <v/>
      </c>
      <c r="AA14" s="155">
        <f>AA13*Parametres!$D$85*Parametres!$D$95</f>
        <v/>
      </c>
      <c r="AB14" s="155">
        <f>AB13*Parametres!$D$85*Parametres!$D$95</f>
        <v/>
      </c>
      <c r="AC14" s="155">
        <f>AC13*Parametres!$D$85*Parametres!$D$95</f>
        <v/>
      </c>
      <c r="AD14" s="155">
        <f>AD13*Parametres!$D$85*Parametres!$D$95</f>
        <v/>
      </c>
      <c r="AE14" s="155">
        <f>AE13*Parametres!$D$85*Parametres!$D$95</f>
        <v/>
      </c>
      <c r="AF14" s="155">
        <f>AF13*Parametres!$D$85*Parametres!$D$95</f>
        <v/>
      </c>
      <c r="AG14" s="155">
        <f>AG13*Parametres!$D$85*Parametres!$D$95</f>
        <v/>
      </c>
      <c r="AH14" s="155">
        <f>AH13*Parametres!$D$85*Parametres!$D$95</f>
        <v/>
      </c>
      <c r="AI14" s="155">
        <f>AI13*Parametres!$D$85*Parametres!$D$95</f>
        <v/>
      </c>
      <c r="AJ14" s="155">
        <f>AJ13*Parametres!$D$85*Parametres!$D$95</f>
        <v/>
      </c>
      <c r="AK14" s="155">
        <f>AK13*Parametres!$D$85*Parametres!$D$95</f>
        <v/>
      </c>
    </row>
    <row r="15" s="143">
      <c r="A15" s="149" t="inlineStr">
        <is>
          <t>Abonnés Ampio+ (pénétration × prestataires actifs)</t>
        </is>
      </c>
      <c r="B15" s="155">
        <f>B13*Parametres!$D$19</f>
        <v/>
      </c>
      <c r="C15" s="155">
        <f>C13*Parametres!$D$19</f>
        <v/>
      </c>
      <c r="D15" s="155">
        <f>D13*Parametres!$D$19</f>
        <v/>
      </c>
      <c r="E15" s="155">
        <f>E13*Parametres!$D$19</f>
        <v/>
      </c>
      <c r="F15" s="155">
        <f>F13*Parametres!$D$19</f>
        <v/>
      </c>
      <c r="G15" s="155">
        <f>G13*Parametres!$D$19</f>
        <v/>
      </c>
      <c r="H15" s="155">
        <f>H13*Parametres!$D$19</f>
        <v/>
      </c>
      <c r="I15" s="155">
        <f>I13*Parametres!$D$19</f>
        <v/>
      </c>
      <c r="J15" s="155">
        <f>J13*Parametres!$D$19</f>
        <v/>
      </c>
      <c r="K15" s="155">
        <f>K13*Parametres!$D$19</f>
        <v/>
      </c>
      <c r="L15" s="155">
        <f>L13*Parametres!$D$19</f>
        <v/>
      </c>
      <c r="M15" s="155">
        <f>M13*Parametres!$D$19</f>
        <v/>
      </c>
      <c r="N15" s="155">
        <f>N13*Parametres!$D$19</f>
        <v/>
      </c>
      <c r="O15" s="155">
        <f>O13*Parametres!$D$19</f>
        <v/>
      </c>
      <c r="P15" s="155">
        <f>P13*Parametres!$D$19</f>
        <v/>
      </c>
      <c r="Q15" s="155">
        <f>Q13*Parametres!$D$19</f>
        <v/>
      </c>
      <c r="R15" s="155">
        <f>R13*Parametres!$D$19</f>
        <v/>
      </c>
      <c r="S15" s="155">
        <f>S13*Parametres!$D$19</f>
        <v/>
      </c>
      <c r="T15" s="155">
        <f>T13*Parametres!$D$19</f>
        <v/>
      </c>
      <c r="U15" s="155">
        <f>U13*Parametres!$D$19</f>
        <v/>
      </c>
      <c r="V15" s="155">
        <f>V13*Parametres!$D$19</f>
        <v/>
      </c>
      <c r="W15" s="155">
        <f>W13*Parametres!$D$19</f>
        <v/>
      </c>
      <c r="X15" s="155">
        <f>X13*Parametres!$D$19</f>
        <v/>
      </c>
      <c r="Y15" s="155">
        <f>Y13*Parametres!$D$19</f>
        <v/>
      </c>
      <c r="Z15" s="155">
        <f>Z13*Parametres!$D$19</f>
        <v/>
      </c>
      <c r="AA15" s="155">
        <f>AA13*Parametres!$D$19</f>
        <v/>
      </c>
      <c r="AB15" s="155">
        <f>AB13*Parametres!$D$19</f>
        <v/>
      </c>
      <c r="AC15" s="155">
        <f>AC13*Parametres!$D$19</f>
        <v/>
      </c>
      <c r="AD15" s="155">
        <f>AD13*Parametres!$D$19</f>
        <v/>
      </c>
      <c r="AE15" s="155">
        <f>AE13*Parametres!$D$19</f>
        <v/>
      </c>
      <c r="AF15" s="155">
        <f>AF13*Parametres!$D$19</f>
        <v/>
      </c>
      <c r="AG15" s="155">
        <f>AG13*Parametres!$D$19</f>
        <v/>
      </c>
      <c r="AH15" s="155">
        <f>AH13*Parametres!$D$19</f>
        <v/>
      </c>
      <c r="AI15" s="155">
        <f>AI13*Parametres!$D$19</f>
        <v/>
      </c>
      <c r="AJ15" s="155">
        <f>AJ13*Parametres!$D$19</f>
        <v/>
      </c>
      <c r="AK15" s="155">
        <f>AK13*Parametres!$D$19</f>
        <v/>
      </c>
    </row>
    <row r="16" s="143">
      <c r="A16" s="149" t="inlineStr">
        <is>
          <t>Prix de l'abonnement indexé</t>
        </is>
      </c>
      <c r="B16" s="168">
        <f>Parametres!$D$18*(1+Parametres!$D$45)^(B$2-1)</f>
        <v/>
      </c>
      <c r="C16" s="168">
        <f>Parametres!$D$18*(1+Parametres!$D$45)^(C$2-1)</f>
        <v/>
      </c>
      <c r="D16" s="168">
        <f>Parametres!$D$18*(1+Parametres!$D$45)^(D$2-1)</f>
        <v/>
      </c>
      <c r="E16" s="168">
        <f>Parametres!$D$18*(1+Parametres!$D$45)^(E$2-1)</f>
        <v/>
      </c>
      <c r="F16" s="168">
        <f>Parametres!$D$18*(1+Parametres!$D$45)^(F$2-1)</f>
        <v/>
      </c>
      <c r="G16" s="168">
        <f>Parametres!$D$18*(1+Parametres!$D$45)^(G$2-1)</f>
        <v/>
      </c>
      <c r="H16" s="168">
        <f>Parametres!$D$18*(1+Parametres!$D$45)^(H$2-1)</f>
        <v/>
      </c>
      <c r="I16" s="168">
        <f>Parametres!$D$18*(1+Parametres!$D$45)^(I$2-1)</f>
        <v/>
      </c>
      <c r="J16" s="168">
        <f>Parametres!$D$18*(1+Parametres!$D$45)^(J$2-1)</f>
        <v/>
      </c>
      <c r="K16" s="168">
        <f>Parametres!$D$18*(1+Parametres!$D$45)^(K$2-1)</f>
        <v/>
      </c>
      <c r="L16" s="168">
        <f>Parametres!$D$18*(1+Parametres!$D$45)^(L$2-1)</f>
        <v/>
      </c>
      <c r="M16" s="168">
        <f>Parametres!$D$18*(1+Parametres!$D$45)^(M$2-1)</f>
        <v/>
      </c>
      <c r="N16" s="168">
        <f>Parametres!$D$18*(1+Parametres!$D$45)^(N$2-1)</f>
        <v/>
      </c>
      <c r="O16" s="168">
        <f>Parametres!$D$18*(1+Parametres!$D$45)^(O$2-1)</f>
        <v/>
      </c>
      <c r="P16" s="168">
        <f>Parametres!$D$18*(1+Parametres!$D$45)^(P$2-1)</f>
        <v/>
      </c>
      <c r="Q16" s="168">
        <f>Parametres!$D$18*(1+Parametres!$D$45)^(Q$2-1)</f>
        <v/>
      </c>
      <c r="R16" s="168">
        <f>Parametres!$D$18*(1+Parametres!$D$45)^(R$2-1)</f>
        <v/>
      </c>
      <c r="S16" s="168">
        <f>Parametres!$D$18*(1+Parametres!$D$45)^(S$2-1)</f>
        <v/>
      </c>
      <c r="T16" s="168">
        <f>Parametres!$D$18*(1+Parametres!$D$45)^(T$2-1)</f>
        <v/>
      </c>
      <c r="U16" s="168">
        <f>Parametres!$D$18*(1+Parametres!$D$45)^(U$2-1)</f>
        <v/>
      </c>
      <c r="V16" s="168">
        <f>Parametres!$D$18*(1+Parametres!$D$45)^(V$2-1)</f>
        <v/>
      </c>
      <c r="W16" s="168">
        <f>Parametres!$D$18*(1+Parametres!$D$45)^(W$2-1)</f>
        <v/>
      </c>
      <c r="X16" s="168">
        <f>Parametres!$D$18*(1+Parametres!$D$45)^(X$2-1)</f>
        <v/>
      </c>
      <c r="Y16" s="168">
        <f>Parametres!$D$18*(1+Parametres!$D$45)^(Y$2-1)</f>
        <v/>
      </c>
      <c r="Z16" s="168">
        <f>Parametres!$D$18*(1+Parametres!$D$45)^(Z$2-1)</f>
        <v/>
      </c>
      <c r="AA16" s="168">
        <f>Parametres!$D$18*(1+Parametres!$D$45)^(AA$2-1)</f>
        <v/>
      </c>
      <c r="AB16" s="168">
        <f>Parametres!$D$18*(1+Parametres!$D$45)^(AB$2-1)</f>
        <v/>
      </c>
      <c r="AC16" s="168">
        <f>Parametres!$D$18*(1+Parametres!$D$45)^(AC$2-1)</f>
        <v/>
      </c>
      <c r="AD16" s="168">
        <f>Parametres!$D$18*(1+Parametres!$D$45)^(AD$2-1)</f>
        <v/>
      </c>
      <c r="AE16" s="168">
        <f>Parametres!$D$18*(1+Parametres!$D$45)^(AE$2-1)</f>
        <v/>
      </c>
      <c r="AF16" s="168">
        <f>Parametres!$D$18*(1+Parametres!$D$45)^(AF$2-1)</f>
        <v/>
      </c>
      <c r="AG16" s="168">
        <f>Parametres!$D$18*(1+Parametres!$D$45)^(AG$2-1)</f>
        <v/>
      </c>
      <c r="AH16" s="168">
        <f>Parametres!$D$18*(1+Parametres!$D$45)^(AH$2-1)</f>
        <v/>
      </c>
      <c r="AI16" s="168">
        <f>Parametres!$D$18*(1+Parametres!$D$45)^(AI$2-1)</f>
        <v/>
      </c>
      <c r="AJ16" s="168">
        <f>Parametres!$D$18*(1+Parametres!$D$45)^(AJ$2-1)</f>
        <v/>
      </c>
      <c r="AK16" s="168">
        <f>Parametres!$D$18*(1+Parametres!$D$45)^(AK$2-1)</f>
        <v/>
      </c>
    </row>
    <row r="17" s="143">
      <c r="A17" s="147" t="inlineStr">
        <is>
          <t>CA abonnements Ampio+ (MRR)</t>
        </is>
      </c>
      <c r="B17" s="205">
        <f>B15*B16</f>
        <v/>
      </c>
      <c r="C17" s="205">
        <f>C15*C16</f>
        <v/>
      </c>
      <c r="D17" s="205">
        <f>D15*D16</f>
        <v/>
      </c>
      <c r="E17" s="205">
        <f>E15*E16</f>
        <v/>
      </c>
      <c r="F17" s="205">
        <f>F15*F16</f>
        <v/>
      </c>
      <c r="G17" s="205">
        <f>G15*G16</f>
        <v/>
      </c>
      <c r="H17" s="205">
        <f>H15*H16</f>
        <v/>
      </c>
      <c r="I17" s="205">
        <f>I15*I16</f>
        <v/>
      </c>
      <c r="J17" s="205">
        <f>J15*J16</f>
        <v/>
      </c>
      <c r="K17" s="205">
        <f>K15*K16</f>
        <v/>
      </c>
      <c r="L17" s="205">
        <f>L15*L16</f>
        <v/>
      </c>
      <c r="M17" s="205">
        <f>M15*M16</f>
        <v/>
      </c>
      <c r="N17" s="205">
        <f>N15*N16</f>
        <v/>
      </c>
      <c r="O17" s="205">
        <f>O15*O16</f>
        <v/>
      </c>
      <c r="P17" s="205">
        <f>P15*P16</f>
        <v/>
      </c>
      <c r="Q17" s="205">
        <f>Q15*Q16</f>
        <v/>
      </c>
      <c r="R17" s="205">
        <f>R15*R16</f>
        <v/>
      </c>
      <c r="S17" s="205">
        <f>S15*S16</f>
        <v/>
      </c>
      <c r="T17" s="205">
        <f>T15*T16</f>
        <v/>
      </c>
      <c r="U17" s="205">
        <f>U15*U16</f>
        <v/>
      </c>
      <c r="V17" s="205">
        <f>V15*V16</f>
        <v/>
      </c>
      <c r="W17" s="205">
        <f>W15*W16</f>
        <v/>
      </c>
      <c r="X17" s="205">
        <f>X15*X16</f>
        <v/>
      </c>
      <c r="Y17" s="205">
        <f>Y15*Y16</f>
        <v/>
      </c>
      <c r="Z17" s="205">
        <f>Z15*Z16</f>
        <v/>
      </c>
      <c r="AA17" s="205">
        <f>AA15*AA16</f>
        <v/>
      </c>
      <c r="AB17" s="205">
        <f>AB15*AB16</f>
        <v/>
      </c>
      <c r="AC17" s="205">
        <f>AC15*AC16</f>
        <v/>
      </c>
      <c r="AD17" s="205">
        <f>AD15*AD16</f>
        <v/>
      </c>
      <c r="AE17" s="205">
        <f>AE15*AE16</f>
        <v/>
      </c>
      <c r="AF17" s="205">
        <f>AF15*AF16</f>
        <v/>
      </c>
      <c r="AG17" s="205">
        <f>AG15*AG16</f>
        <v/>
      </c>
      <c r="AH17" s="205">
        <f>AH15*AH16</f>
        <v/>
      </c>
      <c r="AI17" s="205">
        <f>AI15*AI16</f>
        <v/>
      </c>
      <c r="AJ17" s="205">
        <f>AJ15*AJ16</f>
        <v/>
      </c>
      <c r="AK17" s="205">
        <f>AK15*AK16</f>
        <v/>
      </c>
    </row>
    <row r="18" s="143">
      <c r="A18" s="149" t="inlineStr">
        <is>
          <t>Demande (prestations) — croissance section 7 × multiplicateur acquisition</t>
        </is>
      </c>
      <c r="B18" s="155">
        <f>Parametres!$D$7*(1-IF(Parametres!$B$158=1,Parametres!$B$159,0))</f>
        <v/>
      </c>
      <c r="C18" s="155">
        <f>B18*(1+IF(C8=1,0,IF(AND(C$2&gt;=2,B70=0),Parametres!$D$58,CHOOSE(C$2,Parametres!$F$52,Parametres!$G$52,Parametres!$H$52))*C7))</f>
        <v/>
      </c>
      <c r="D18" s="155">
        <f>C18*(1+IF(D8=1,0,IF(AND(D$2&gt;=2,C70=0),Parametres!$D$58,CHOOSE(D$2,Parametres!$F$52,Parametres!$G$52,Parametres!$H$52))*D7))</f>
        <v/>
      </c>
      <c r="E18" s="155">
        <f>D18*(1+IF(E8=1,0,IF(AND(E$2&gt;=2,D70=0),Parametres!$D$58,CHOOSE(E$2,Parametres!$F$52,Parametres!$G$52,Parametres!$H$52))*E7))</f>
        <v/>
      </c>
      <c r="F18" s="155">
        <f>E18*(1+IF(F8=1,0,IF(AND(F$2&gt;=2,E70=0),Parametres!$D$58,CHOOSE(F$2,Parametres!$F$52,Parametres!$G$52,Parametres!$H$52))*F7))</f>
        <v/>
      </c>
      <c r="G18" s="155">
        <f>F18*(1+IF(G8=1,0,IF(AND(G$2&gt;=2,F70=0),Parametres!$D$58,CHOOSE(G$2,Parametres!$F$52,Parametres!$G$52,Parametres!$H$52))*G7))</f>
        <v/>
      </c>
      <c r="H18" s="155">
        <f>G18*(1+IF(H8=1,0,IF(AND(H$2&gt;=2,G70=0),Parametres!$D$58,CHOOSE(H$2,Parametres!$F$52,Parametres!$G$52,Parametres!$H$52))*H7))</f>
        <v/>
      </c>
      <c r="I18" s="155">
        <f>H18*(1+IF(I8=1,0,IF(AND(I$2&gt;=2,H70=0),Parametres!$D$58,CHOOSE(I$2,Parametres!$F$52,Parametres!$G$52,Parametres!$H$52))*I7))</f>
        <v/>
      </c>
      <c r="J18" s="155">
        <f>I18*(1+IF(J8=1,0,IF(AND(J$2&gt;=2,I70=0),Parametres!$D$58,CHOOSE(J$2,Parametres!$F$52,Parametres!$G$52,Parametres!$H$52))*J7))</f>
        <v/>
      </c>
      <c r="K18" s="155">
        <f>J18*(1+IF(K8=1,0,IF(AND(K$2&gt;=2,J70=0),Parametres!$D$58,CHOOSE(K$2,Parametres!$F$52,Parametres!$G$52,Parametres!$H$52))*K7))</f>
        <v/>
      </c>
      <c r="L18" s="155">
        <f>K18*(1+IF(L8=1,0,IF(AND(L$2&gt;=2,K70=0),Parametres!$D$58,CHOOSE(L$2,Parametres!$F$52,Parametres!$G$52,Parametres!$H$52))*L7))</f>
        <v/>
      </c>
      <c r="M18" s="155">
        <f>L18*(1+IF(M8=1,0,IF(AND(M$2&gt;=2,L70=0),Parametres!$D$58,CHOOSE(M$2,Parametres!$F$52,Parametres!$G$52,Parametres!$H$52))*M7))</f>
        <v/>
      </c>
      <c r="N18" s="155">
        <f>M18*(1+IF(N8=1,0,IF(AND(N$2&gt;=2,M70=0),Parametres!$D$58,CHOOSE(N$2,Parametres!$F$52,Parametres!$G$52,Parametres!$H$52))*N7))</f>
        <v/>
      </c>
      <c r="O18" s="155">
        <f>N18*(1+IF(O8=1,0,IF(AND(O$2&gt;=2,N70=0),Parametres!$D$58,CHOOSE(O$2,Parametres!$F$52,Parametres!$G$52,Parametres!$H$52))*O7))</f>
        <v/>
      </c>
      <c r="P18" s="155">
        <f>O18*(1+IF(P8=1,0,IF(AND(P$2&gt;=2,O70=0),Parametres!$D$58,CHOOSE(P$2,Parametres!$F$52,Parametres!$G$52,Parametres!$H$52))*P7))</f>
        <v/>
      </c>
      <c r="Q18" s="155">
        <f>P18*(1+IF(Q8=1,0,IF(AND(Q$2&gt;=2,P70=0),Parametres!$D$58,CHOOSE(Q$2,Parametres!$F$52,Parametres!$G$52,Parametres!$H$52))*Q7))</f>
        <v/>
      </c>
      <c r="R18" s="155">
        <f>Q18*(1+IF(R8=1,0,IF(AND(R$2&gt;=2,Q70=0),Parametres!$D$58,CHOOSE(R$2,Parametres!$F$52,Parametres!$G$52,Parametres!$H$52))*R7))</f>
        <v/>
      </c>
      <c r="S18" s="155">
        <f>R18*(1+IF(S8=1,0,IF(AND(S$2&gt;=2,R70=0),Parametres!$D$58,CHOOSE(S$2,Parametres!$F$52,Parametres!$G$52,Parametres!$H$52))*S7))</f>
        <v/>
      </c>
      <c r="T18" s="155">
        <f>S18*(1+IF(T8=1,0,IF(AND(T$2&gt;=2,S70=0),Parametres!$D$58,CHOOSE(T$2,Parametres!$F$52,Parametres!$G$52,Parametres!$H$52))*T7))</f>
        <v/>
      </c>
      <c r="U18" s="155">
        <f>T18*(1+IF(U8=1,0,IF(AND(U$2&gt;=2,T70=0),Parametres!$D$58,CHOOSE(U$2,Parametres!$F$52,Parametres!$G$52,Parametres!$H$52))*U7))</f>
        <v/>
      </c>
      <c r="V18" s="155">
        <f>U18*(1+IF(V8=1,0,IF(AND(V$2&gt;=2,U70=0),Parametres!$D$58,CHOOSE(V$2,Parametres!$F$52,Parametres!$G$52,Parametres!$H$52))*V7))</f>
        <v/>
      </c>
      <c r="W18" s="155">
        <f>V18*(1+IF(W8=1,0,IF(AND(W$2&gt;=2,V70=0),Parametres!$D$58,CHOOSE(W$2,Parametres!$F$52,Parametres!$G$52,Parametres!$H$52))*W7))</f>
        <v/>
      </c>
      <c r="X18" s="155">
        <f>W18*(1+IF(X8=1,0,IF(AND(X$2&gt;=2,W70=0),Parametres!$D$58,CHOOSE(X$2,Parametres!$F$52,Parametres!$G$52,Parametres!$H$52))*X7))</f>
        <v/>
      </c>
      <c r="Y18" s="155">
        <f>X18*(1+IF(Y8=1,0,IF(AND(Y$2&gt;=2,X70=0),Parametres!$D$58,CHOOSE(Y$2,Parametres!$F$52,Parametres!$G$52,Parametres!$H$52))*Y7))</f>
        <v/>
      </c>
      <c r="Z18" s="155">
        <f>Y18*(1+IF(Z8=1,0,IF(AND(Z$2&gt;=2,Y70=0),Parametres!$D$58,CHOOSE(Z$2,Parametres!$F$52,Parametres!$G$52,Parametres!$H$52))*Z7))</f>
        <v/>
      </c>
      <c r="AA18" s="155">
        <f>Z18*(1+IF(AA8=1,0,IF(AND(AA$2&gt;=2,Z70=0),Parametres!$D$58,CHOOSE(AA$2,Parametres!$F$52,Parametres!$G$52,Parametres!$H$52))*AA7))</f>
        <v/>
      </c>
      <c r="AB18" s="155">
        <f>AA18*(1+IF(AB8=1,0,IF(AND(AB$2&gt;=2,AA70=0),Parametres!$D$58,CHOOSE(AB$2,Parametres!$F$52,Parametres!$G$52,Parametres!$H$52))*AB7))</f>
        <v/>
      </c>
      <c r="AC18" s="155">
        <f>AB18*(1+IF(AC8=1,0,IF(AND(AC$2&gt;=2,AB70=0),Parametres!$D$58,CHOOSE(AC$2,Parametres!$F$52,Parametres!$G$52,Parametres!$H$52))*AC7))</f>
        <v/>
      </c>
      <c r="AD18" s="155">
        <f>AC18*(1+IF(AD8=1,0,IF(AND(AD$2&gt;=2,AC70=0),Parametres!$D$58,CHOOSE(AD$2,Parametres!$F$52,Parametres!$G$52,Parametres!$H$52))*AD7))</f>
        <v/>
      </c>
      <c r="AE18" s="155">
        <f>AD18*(1+IF(AE8=1,0,IF(AND(AE$2&gt;=2,AD70=0),Parametres!$D$58,CHOOSE(AE$2,Parametres!$F$52,Parametres!$G$52,Parametres!$H$52))*AE7))</f>
        <v/>
      </c>
      <c r="AF18" s="155">
        <f>AE18*(1+IF(AF8=1,0,IF(AND(AF$2&gt;=2,AE70=0),Parametres!$D$58,CHOOSE(AF$2,Parametres!$F$52,Parametres!$G$52,Parametres!$H$52))*AF7))</f>
        <v/>
      </c>
      <c r="AG18" s="155">
        <f>AF18*(1+IF(AG8=1,0,IF(AND(AG$2&gt;=2,AF70=0),Parametres!$D$58,CHOOSE(AG$2,Parametres!$F$52,Parametres!$G$52,Parametres!$H$52))*AG7))</f>
        <v/>
      </c>
      <c r="AH18" s="155">
        <f>AG18*(1+IF(AH8=1,0,IF(AND(AH$2&gt;=2,AG70=0),Parametres!$D$58,CHOOSE(AH$2,Parametres!$F$52,Parametres!$G$52,Parametres!$H$52))*AH7))</f>
        <v/>
      </c>
      <c r="AI18" s="155">
        <f>AH18*(1+IF(AI8=1,0,IF(AND(AI$2&gt;=2,AH70=0),Parametres!$D$58,CHOOSE(AI$2,Parametres!$F$52,Parametres!$G$52,Parametres!$H$52))*AI7))</f>
        <v/>
      </c>
      <c r="AJ18" s="155">
        <f>AI18*(1+IF(AJ8=1,0,IF(AND(AJ$2&gt;=2,AI70=0),Parametres!$D$58,CHOOSE(AJ$2,Parametres!$F$52,Parametres!$G$52,Parametres!$H$52))*AJ7))</f>
        <v/>
      </c>
      <c r="AK18" s="155">
        <f>AJ18*(1+IF(AK8=1,0,IF(AND(AK$2&gt;=2,AJ70=0),Parametres!$D$58,CHOOSE(AK$2,Parametres!$F$52,Parametres!$G$52,Parametres!$H$52))*AK7))</f>
        <v/>
      </c>
    </row>
    <row r="19" s="143">
      <c r="A19" s="147" t="inlineStr">
        <is>
          <t>Prestations réalisées = MIN(demande, capacité)</t>
        </is>
      </c>
      <c r="B19" s="203">
        <f>MIN(B18,B14)</f>
        <v/>
      </c>
      <c r="C19" s="203">
        <f>MIN(C18,C14)</f>
        <v/>
      </c>
      <c r="D19" s="203">
        <f>MIN(D18,D14)</f>
        <v/>
      </c>
      <c r="E19" s="203">
        <f>MIN(E18,E14)</f>
        <v/>
      </c>
      <c r="F19" s="203">
        <f>MIN(F18,F14)</f>
        <v/>
      </c>
      <c r="G19" s="203">
        <f>MIN(G18,G14)</f>
        <v/>
      </c>
      <c r="H19" s="203">
        <f>MIN(H18,H14)</f>
        <v/>
      </c>
      <c r="I19" s="203">
        <f>MIN(I18,I14)</f>
        <v/>
      </c>
      <c r="J19" s="203">
        <f>MIN(J18,J14)</f>
        <v/>
      </c>
      <c r="K19" s="203">
        <f>MIN(K18,K14)</f>
        <v/>
      </c>
      <c r="L19" s="203">
        <f>MIN(L18,L14)</f>
        <v/>
      </c>
      <c r="M19" s="203">
        <f>MIN(M18,M14)</f>
        <v/>
      </c>
      <c r="N19" s="203">
        <f>MIN(N18,N14)</f>
        <v/>
      </c>
      <c r="O19" s="203">
        <f>MIN(O18,O14)</f>
        <v/>
      </c>
      <c r="P19" s="203">
        <f>MIN(P18,P14)</f>
        <v/>
      </c>
      <c r="Q19" s="203">
        <f>MIN(Q18,Q14)</f>
        <v/>
      </c>
      <c r="R19" s="203">
        <f>MIN(R18,R14)</f>
        <v/>
      </c>
      <c r="S19" s="203">
        <f>MIN(S18,S14)</f>
        <v/>
      </c>
      <c r="T19" s="203">
        <f>MIN(T18,T14)</f>
        <v/>
      </c>
      <c r="U19" s="203">
        <f>MIN(U18,U14)</f>
        <v/>
      </c>
      <c r="V19" s="203">
        <f>MIN(V18,V14)</f>
        <v/>
      </c>
      <c r="W19" s="203">
        <f>MIN(W18,W14)</f>
        <v/>
      </c>
      <c r="X19" s="203">
        <f>MIN(X18,X14)</f>
        <v/>
      </c>
      <c r="Y19" s="203">
        <f>MIN(Y18,Y14)</f>
        <v/>
      </c>
      <c r="Z19" s="203">
        <f>MIN(Z18,Z14)</f>
        <v/>
      </c>
      <c r="AA19" s="203">
        <f>MIN(AA18,AA14)</f>
        <v/>
      </c>
      <c r="AB19" s="203">
        <f>MIN(AB18,AB14)</f>
        <v/>
      </c>
      <c r="AC19" s="203">
        <f>MIN(AC18,AC14)</f>
        <v/>
      </c>
      <c r="AD19" s="203">
        <f>MIN(AD18,AD14)</f>
        <v/>
      </c>
      <c r="AE19" s="203">
        <f>MIN(AE18,AE14)</f>
        <v/>
      </c>
      <c r="AF19" s="203">
        <f>MIN(AF18,AF14)</f>
        <v/>
      </c>
      <c r="AG19" s="203">
        <f>MIN(AG18,AG14)</f>
        <v/>
      </c>
      <c r="AH19" s="203">
        <f>MIN(AH18,AH14)</f>
        <v/>
      </c>
      <c r="AI19" s="203">
        <f>MIN(AI18,AI14)</f>
        <v/>
      </c>
      <c r="AJ19" s="203">
        <f>MIN(AJ18,AJ14)</f>
        <v/>
      </c>
      <c r="AK19" s="203">
        <f>MIN(AK18,AK14)</f>
        <v/>
      </c>
    </row>
    <row r="20" s="143">
      <c r="A20" s="149" t="inlineStr">
        <is>
          <t>Demande non servie (pénurie d'offre)</t>
        </is>
      </c>
      <c r="B20" s="202">
        <f>B18-B19</f>
        <v/>
      </c>
      <c r="C20" s="202">
        <f>C18-C19</f>
        <v/>
      </c>
      <c r="D20" s="202">
        <f>D18-D19</f>
        <v/>
      </c>
      <c r="E20" s="202">
        <f>E18-E19</f>
        <v/>
      </c>
      <c r="F20" s="202">
        <f>F18-F19</f>
        <v/>
      </c>
      <c r="G20" s="202">
        <f>G18-G19</f>
        <v/>
      </c>
      <c r="H20" s="202">
        <f>H18-H19</f>
        <v/>
      </c>
      <c r="I20" s="202">
        <f>I18-I19</f>
        <v/>
      </c>
      <c r="J20" s="202">
        <f>J18-J19</f>
        <v/>
      </c>
      <c r="K20" s="202">
        <f>K18-K19</f>
        <v/>
      </c>
      <c r="L20" s="202">
        <f>L18-L19</f>
        <v/>
      </c>
      <c r="M20" s="202">
        <f>M18-M19</f>
        <v/>
      </c>
      <c r="N20" s="202">
        <f>N18-N19</f>
        <v/>
      </c>
      <c r="O20" s="202">
        <f>O18-O19</f>
        <v/>
      </c>
      <c r="P20" s="202">
        <f>P18-P19</f>
        <v/>
      </c>
      <c r="Q20" s="202">
        <f>Q18-Q19</f>
        <v/>
      </c>
      <c r="R20" s="202">
        <f>R18-R19</f>
        <v/>
      </c>
      <c r="S20" s="202">
        <f>S18-S19</f>
        <v/>
      </c>
      <c r="T20" s="202">
        <f>T18-T19</f>
        <v/>
      </c>
      <c r="U20" s="202">
        <f>U18-U19</f>
        <v/>
      </c>
      <c r="V20" s="202">
        <f>V18-V19</f>
        <v/>
      </c>
      <c r="W20" s="202">
        <f>W18-W19</f>
        <v/>
      </c>
      <c r="X20" s="202">
        <f>X18-X19</f>
        <v/>
      </c>
      <c r="Y20" s="202">
        <f>Y18-Y19</f>
        <v/>
      </c>
      <c r="Z20" s="202">
        <f>Z18-Z19</f>
        <v/>
      </c>
      <c r="AA20" s="202">
        <f>AA18-AA19</f>
        <v/>
      </c>
      <c r="AB20" s="202">
        <f>AB18-AB19</f>
        <v/>
      </c>
      <c r="AC20" s="202">
        <f>AC18-AC19</f>
        <v/>
      </c>
      <c r="AD20" s="202">
        <f>AD18-AD19</f>
        <v/>
      </c>
      <c r="AE20" s="202">
        <f>AE18-AE19</f>
        <v/>
      </c>
      <c r="AF20" s="202">
        <f>AF18-AF19</f>
        <v/>
      </c>
      <c r="AG20" s="202">
        <f>AG18-AG19</f>
        <v/>
      </c>
      <c r="AH20" s="202">
        <f>AH18-AH19</f>
        <v/>
      </c>
      <c r="AI20" s="202">
        <f>AI18-AI19</f>
        <v/>
      </c>
      <c r="AJ20" s="202">
        <f>AJ18-AJ19</f>
        <v/>
      </c>
      <c r="AK20" s="202">
        <f>AK18-AK19</f>
        <v/>
      </c>
    </row>
    <row r="21" s="143">
      <c r="A21" s="149" t="inlineStr">
        <is>
          <t>Taux d'utilisation de la capacité brute (réalisées / (actifs × max))</t>
        </is>
      </c>
      <c r="B21" s="152">
        <f>IF(B13*Parametres!$D$85=0,0,B19/(B13*Parametres!$D$85))</f>
        <v/>
      </c>
      <c r="C21" s="152">
        <f>IF(C13*Parametres!$D$85=0,0,C19/(C13*Parametres!$D$85))</f>
        <v/>
      </c>
      <c r="D21" s="152">
        <f>IF(D13*Parametres!$D$85=0,0,D19/(D13*Parametres!$D$85))</f>
        <v/>
      </c>
      <c r="E21" s="152">
        <f>IF(E13*Parametres!$D$85=0,0,E19/(E13*Parametres!$D$85))</f>
        <v/>
      </c>
      <c r="F21" s="152">
        <f>IF(F13*Parametres!$D$85=0,0,F19/(F13*Parametres!$D$85))</f>
        <v/>
      </c>
      <c r="G21" s="152">
        <f>IF(G13*Parametres!$D$85=0,0,G19/(G13*Parametres!$D$85))</f>
        <v/>
      </c>
      <c r="H21" s="152">
        <f>IF(H13*Parametres!$D$85=0,0,H19/(H13*Parametres!$D$85))</f>
        <v/>
      </c>
      <c r="I21" s="152">
        <f>IF(I13*Parametres!$D$85=0,0,I19/(I13*Parametres!$D$85))</f>
        <v/>
      </c>
      <c r="J21" s="152">
        <f>IF(J13*Parametres!$D$85=0,0,J19/(J13*Parametres!$D$85))</f>
        <v/>
      </c>
      <c r="K21" s="152">
        <f>IF(K13*Parametres!$D$85=0,0,K19/(K13*Parametres!$D$85))</f>
        <v/>
      </c>
      <c r="L21" s="152">
        <f>IF(L13*Parametres!$D$85=0,0,L19/(L13*Parametres!$D$85))</f>
        <v/>
      </c>
      <c r="M21" s="152">
        <f>IF(M13*Parametres!$D$85=0,0,M19/(M13*Parametres!$D$85))</f>
        <v/>
      </c>
      <c r="N21" s="152">
        <f>IF(N13*Parametres!$D$85=0,0,N19/(N13*Parametres!$D$85))</f>
        <v/>
      </c>
      <c r="O21" s="152">
        <f>IF(O13*Parametres!$D$85=0,0,O19/(O13*Parametres!$D$85))</f>
        <v/>
      </c>
      <c r="P21" s="152">
        <f>IF(P13*Parametres!$D$85=0,0,P19/(P13*Parametres!$D$85))</f>
        <v/>
      </c>
      <c r="Q21" s="152">
        <f>IF(Q13*Parametres!$D$85=0,0,Q19/(Q13*Parametres!$D$85))</f>
        <v/>
      </c>
      <c r="R21" s="152">
        <f>IF(R13*Parametres!$D$85=0,0,R19/(R13*Parametres!$D$85))</f>
        <v/>
      </c>
      <c r="S21" s="152">
        <f>IF(S13*Parametres!$D$85=0,0,S19/(S13*Parametres!$D$85))</f>
        <v/>
      </c>
      <c r="T21" s="152">
        <f>IF(T13*Parametres!$D$85=0,0,T19/(T13*Parametres!$D$85))</f>
        <v/>
      </c>
      <c r="U21" s="152">
        <f>IF(U13*Parametres!$D$85=0,0,U19/(U13*Parametres!$D$85))</f>
        <v/>
      </c>
      <c r="V21" s="152">
        <f>IF(V13*Parametres!$D$85=0,0,V19/(V13*Parametres!$D$85))</f>
        <v/>
      </c>
      <c r="W21" s="152">
        <f>IF(W13*Parametres!$D$85=0,0,W19/(W13*Parametres!$D$85))</f>
        <v/>
      </c>
      <c r="X21" s="152">
        <f>IF(X13*Parametres!$D$85=0,0,X19/(X13*Parametres!$D$85))</f>
        <v/>
      </c>
      <c r="Y21" s="152">
        <f>IF(Y13*Parametres!$D$85=0,0,Y19/(Y13*Parametres!$D$85))</f>
        <v/>
      </c>
      <c r="Z21" s="152">
        <f>IF(Z13*Parametres!$D$85=0,0,Z19/(Z13*Parametres!$D$85))</f>
        <v/>
      </c>
      <c r="AA21" s="152">
        <f>IF(AA13*Parametres!$D$85=0,0,AA19/(AA13*Parametres!$D$85))</f>
        <v/>
      </c>
      <c r="AB21" s="152">
        <f>IF(AB13*Parametres!$D$85=0,0,AB19/(AB13*Parametres!$D$85))</f>
        <v/>
      </c>
      <c r="AC21" s="152">
        <f>IF(AC13*Parametres!$D$85=0,0,AC19/(AC13*Parametres!$D$85))</f>
        <v/>
      </c>
      <c r="AD21" s="152">
        <f>IF(AD13*Parametres!$D$85=0,0,AD19/(AD13*Parametres!$D$85))</f>
        <v/>
      </c>
      <c r="AE21" s="152">
        <f>IF(AE13*Parametres!$D$85=0,0,AE19/(AE13*Parametres!$D$85))</f>
        <v/>
      </c>
      <c r="AF21" s="152">
        <f>IF(AF13*Parametres!$D$85=0,0,AF19/(AF13*Parametres!$D$85))</f>
        <v/>
      </c>
      <c r="AG21" s="152">
        <f>IF(AG13*Parametres!$D$85=0,0,AG19/(AG13*Parametres!$D$85))</f>
        <v/>
      </c>
      <c r="AH21" s="152">
        <f>IF(AH13*Parametres!$D$85=0,0,AH19/(AH13*Parametres!$D$85))</f>
        <v/>
      </c>
      <c r="AI21" s="152">
        <f>IF(AI13*Parametres!$D$85=0,0,AI19/(AI13*Parametres!$D$85))</f>
        <v/>
      </c>
      <c r="AJ21" s="152">
        <f>IF(AJ13*Parametres!$D$85=0,0,AJ19/(AJ13*Parametres!$D$85))</f>
        <v/>
      </c>
      <c r="AK21" s="152">
        <f>IF(AK13*Parametres!$D$85=0,0,AK19/(AK13*Parametres!$D$85))</f>
        <v/>
      </c>
    </row>
    <row r="22" s="143">
      <c r="A22" s="149" t="inlineStr">
        <is>
          <t>Panier / loyer moyen (indexé par an)</t>
        </is>
      </c>
      <c r="B22" s="168">
        <f>Parametres!$D$8*(1+Parametres!$D$46)^(B$2-1)</f>
        <v/>
      </c>
      <c r="C22" s="168">
        <f>Parametres!$D$8*(1+Parametres!$D$46)^(C$2-1)</f>
        <v/>
      </c>
      <c r="D22" s="168">
        <f>Parametres!$D$8*(1+Parametres!$D$46)^(D$2-1)</f>
        <v/>
      </c>
      <c r="E22" s="168">
        <f>Parametres!$D$8*(1+Parametres!$D$46)^(E$2-1)</f>
        <v/>
      </c>
      <c r="F22" s="168">
        <f>Parametres!$D$8*(1+Parametres!$D$46)^(F$2-1)</f>
        <v/>
      </c>
      <c r="G22" s="168">
        <f>Parametres!$D$8*(1+Parametres!$D$46)^(G$2-1)</f>
        <v/>
      </c>
      <c r="H22" s="168">
        <f>Parametres!$D$8*(1+Parametres!$D$46)^(H$2-1)</f>
        <v/>
      </c>
      <c r="I22" s="168">
        <f>Parametres!$D$8*(1+Parametres!$D$46)^(I$2-1)</f>
        <v/>
      </c>
      <c r="J22" s="168">
        <f>Parametres!$D$8*(1+Parametres!$D$46)^(J$2-1)</f>
        <v/>
      </c>
      <c r="K22" s="168">
        <f>Parametres!$D$8*(1+Parametres!$D$46)^(K$2-1)</f>
        <v/>
      </c>
      <c r="L22" s="168">
        <f>Parametres!$D$8*(1+Parametres!$D$46)^(L$2-1)</f>
        <v/>
      </c>
      <c r="M22" s="168">
        <f>Parametres!$D$8*(1+Parametres!$D$46)^(M$2-1)</f>
        <v/>
      </c>
      <c r="N22" s="168">
        <f>Parametres!$D$8*(1+Parametres!$D$46)^(N$2-1)</f>
        <v/>
      </c>
      <c r="O22" s="168">
        <f>Parametres!$D$8*(1+Parametres!$D$46)^(O$2-1)</f>
        <v/>
      </c>
      <c r="P22" s="168">
        <f>Parametres!$D$8*(1+Parametres!$D$46)^(P$2-1)</f>
        <v/>
      </c>
      <c r="Q22" s="168">
        <f>Parametres!$D$8*(1+Parametres!$D$46)^(Q$2-1)</f>
        <v/>
      </c>
      <c r="R22" s="168">
        <f>Parametres!$D$8*(1+Parametres!$D$46)^(R$2-1)</f>
        <v/>
      </c>
      <c r="S22" s="168">
        <f>Parametres!$D$8*(1+Parametres!$D$46)^(S$2-1)</f>
        <v/>
      </c>
      <c r="T22" s="168">
        <f>Parametres!$D$8*(1+Parametres!$D$46)^(T$2-1)</f>
        <v/>
      </c>
      <c r="U22" s="168">
        <f>Parametres!$D$8*(1+Parametres!$D$46)^(U$2-1)</f>
        <v/>
      </c>
      <c r="V22" s="168">
        <f>Parametres!$D$8*(1+Parametres!$D$46)^(V$2-1)</f>
        <v/>
      </c>
      <c r="W22" s="168">
        <f>Parametres!$D$8*(1+Parametres!$D$46)^(W$2-1)</f>
        <v/>
      </c>
      <c r="X22" s="168">
        <f>Parametres!$D$8*(1+Parametres!$D$46)^(X$2-1)</f>
        <v/>
      </c>
      <c r="Y22" s="168">
        <f>Parametres!$D$8*(1+Parametres!$D$46)^(Y$2-1)</f>
        <v/>
      </c>
      <c r="Z22" s="168">
        <f>Parametres!$D$8*(1+Parametres!$D$46)^(Z$2-1)</f>
        <v/>
      </c>
      <c r="AA22" s="168">
        <f>Parametres!$D$8*(1+Parametres!$D$46)^(AA$2-1)</f>
        <v/>
      </c>
      <c r="AB22" s="168">
        <f>Parametres!$D$8*(1+Parametres!$D$46)^(AB$2-1)</f>
        <v/>
      </c>
      <c r="AC22" s="168">
        <f>Parametres!$D$8*(1+Parametres!$D$46)^(AC$2-1)</f>
        <v/>
      </c>
      <c r="AD22" s="168">
        <f>Parametres!$D$8*(1+Parametres!$D$46)^(AD$2-1)</f>
        <v/>
      </c>
      <c r="AE22" s="168">
        <f>Parametres!$D$8*(1+Parametres!$D$46)^(AE$2-1)</f>
        <v/>
      </c>
      <c r="AF22" s="168">
        <f>Parametres!$D$8*(1+Parametres!$D$46)^(AF$2-1)</f>
        <v/>
      </c>
      <c r="AG22" s="168">
        <f>Parametres!$D$8*(1+Parametres!$D$46)^(AG$2-1)</f>
        <v/>
      </c>
      <c r="AH22" s="168">
        <f>Parametres!$D$8*(1+Parametres!$D$46)^(AH$2-1)</f>
        <v/>
      </c>
      <c r="AI22" s="168">
        <f>Parametres!$D$8*(1+Parametres!$D$46)^(AI$2-1)</f>
        <v/>
      </c>
      <c r="AJ22" s="168">
        <f>Parametres!$D$8*(1+Parametres!$D$46)^(AJ$2-1)</f>
        <v/>
      </c>
      <c r="AK22" s="168">
        <f>Parametres!$D$8*(1+Parametres!$D$46)^(AK$2-1)</f>
        <v/>
      </c>
    </row>
    <row r="23" s="143">
      <c r="A23" s="147" t="inlineStr">
        <is>
          <t>GMV prestations</t>
        </is>
      </c>
      <c r="B23" s="205">
        <f>B19*B22</f>
        <v/>
      </c>
      <c r="C23" s="205">
        <f>C19*C22</f>
        <v/>
      </c>
      <c r="D23" s="205">
        <f>D19*D22</f>
        <v/>
      </c>
      <c r="E23" s="205">
        <f>E19*E22</f>
        <v/>
      </c>
      <c r="F23" s="205">
        <f>F19*F22</f>
        <v/>
      </c>
      <c r="G23" s="205">
        <f>G19*G22</f>
        <v/>
      </c>
      <c r="H23" s="205">
        <f>H19*H22</f>
        <v/>
      </c>
      <c r="I23" s="205">
        <f>I19*I22</f>
        <v/>
      </c>
      <c r="J23" s="205">
        <f>J19*J22</f>
        <v/>
      </c>
      <c r="K23" s="205">
        <f>K19*K22</f>
        <v/>
      </c>
      <c r="L23" s="205">
        <f>L19*L22</f>
        <v/>
      </c>
      <c r="M23" s="205">
        <f>M19*M22</f>
        <v/>
      </c>
      <c r="N23" s="205">
        <f>N19*N22</f>
        <v/>
      </c>
      <c r="O23" s="205">
        <f>O19*O22</f>
        <v/>
      </c>
      <c r="P23" s="205">
        <f>P19*P22</f>
        <v/>
      </c>
      <c r="Q23" s="205">
        <f>Q19*Q22</f>
        <v/>
      </c>
      <c r="R23" s="205">
        <f>R19*R22</f>
        <v/>
      </c>
      <c r="S23" s="205">
        <f>S19*S22</f>
        <v/>
      </c>
      <c r="T23" s="205">
        <f>T19*T22</f>
        <v/>
      </c>
      <c r="U23" s="205">
        <f>U19*U22</f>
        <v/>
      </c>
      <c r="V23" s="205">
        <f>V19*V22</f>
        <v/>
      </c>
      <c r="W23" s="205">
        <f>W19*W22</f>
        <v/>
      </c>
      <c r="X23" s="205">
        <f>X19*X22</f>
        <v/>
      </c>
      <c r="Y23" s="205">
        <f>Y19*Y22</f>
        <v/>
      </c>
      <c r="Z23" s="205">
        <f>Z19*Z22</f>
        <v/>
      </c>
      <c r="AA23" s="205">
        <f>AA19*AA22</f>
        <v/>
      </c>
      <c r="AB23" s="205">
        <f>AB19*AB22</f>
        <v/>
      </c>
      <c r="AC23" s="205">
        <f>AC19*AC22</f>
        <v/>
      </c>
      <c r="AD23" s="205">
        <f>AD19*AD22</f>
        <v/>
      </c>
      <c r="AE23" s="205">
        <f>AE19*AE22</f>
        <v/>
      </c>
      <c r="AF23" s="205">
        <f>AF19*AF22</f>
        <v/>
      </c>
      <c r="AG23" s="205">
        <f>AG19*AG22</f>
        <v/>
      </c>
      <c r="AH23" s="205">
        <f>AH19*AH22</f>
        <v/>
      </c>
      <c r="AI23" s="205">
        <f>AI19*AI22</f>
        <v/>
      </c>
      <c r="AJ23" s="205">
        <f>AJ19*AJ22</f>
        <v/>
      </c>
      <c r="AK23" s="205">
        <f>AK19*AK22</f>
        <v/>
      </c>
    </row>
    <row r="24" s="143">
      <c r="A24" s="147" t="inlineStr">
        <is>
          <t>CA commissions prestations (take rate mix − subvention de lancement M1–M6)</t>
        </is>
      </c>
      <c r="B24" s="206">
        <f>MAX(0,B23*(Parametres!$D$13-IF(B$3&lt;=Parametres!$D$99,Parametres!$D$100,0)))</f>
        <v/>
      </c>
      <c r="C24" s="206">
        <f>MAX(0,C23*(Parametres!$D$13-IF(C$3&lt;=Parametres!$D$99,Parametres!$D$100,0)))</f>
        <v/>
      </c>
      <c r="D24" s="206">
        <f>MAX(0,D23*(Parametres!$D$13-IF(D$3&lt;=Parametres!$D$99,Parametres!$D$100,0)))</f>
        <v/>
      </c>
      <c r="E24" s="206">
        <f>MAX(0,E23*(Parametres!$D$13-IF(E$3&lt;=Parametres!$D$99,Parametres!$D$100,0)))</f>
        <v/>
      </c>
      <c r="F24" s="206">
        <f>MAX(0,F23*(Parametres!$D$13-IF(F$3&lt;=Parametres!$D$99,Parametres!$D$100,0)))</f>
        <v/>
      </c>
      <c r="G24" s="206">
        <f>MAX(0,G23*(Parametres!$D$13-IF(G$3&lt;=Parametres!$D$99,Parametres!$D$100,0)))</f>
        <v/>
      </c>
      <c r="H24" s="206">
        <f>MAX(0,H23*(Parametres!$D$13-IF(H$3&lt;=Parametres!$D$99,Parametres!$D$100,0)))</f>
        <v/>
      </c>
      <c r="I24" s="206">
        <f>MAX(0,I23*(Parametres!$D$13-IF(I$3&lt;=Parametres!$D$99,Parametres!$D$100,0)))</f>
        <v/>
      </c>
      <c r="J24" s="206">
        <f>MAX(0,J23*(Parametres!$D$13-IF(J$3&lt;=Parametres!$D$99,Parametres!$D$100,0)))</f>
        <v/>
      </c>
      <c r="K24" s="206">
        <f>MAX(0,K23*(Parametres!$D$13-IF(K$3&lt;=Parametres!$D$99,Parametres!$D$100,0)))</f>
        <v/>
      </c>
      <c r="L24" s="206">
        <f>MAX(0,L23*(Parametres!$D$13-IF(L$3&lt;=Parametres!$D$99,Parametres!$D$100,0)))</f>
        <v/>
      </c>
      <c r="M24" s="206">
        <f>MAX(0,M23*(Parametres!$D$13-IF(M$3&lt;=Parametres!$D$99,Parametres!$D$100,0)))</f>
        <v/>
      </c>
      <c r="N24" s="206">
        <f>MAX(0,N23*(Parametres!$D$13-IF(N$3&lt;=Parametres!$D$99,Parametres!$D$100,0)))</f>
        <v/>
      </c>
      <c r="O24" s="206">
        <f>MAX(0,O23*(Parametres!$D$13-IF(O$3&lt;=Parametres!$D$99,Parametres!$D$100,0)))</f>
        <v/>
      </c>
      <c r="P24" s="206">
        <f>MAX(0,P23*(Parametres!$D$13-IF(P$3&lt;=Parametres!$D$99,Parametres!$D$100,0)))</f>
        <v/>
      </c>
      <c r="Q24" s="206">
        <f>MAX(0,Q23*(Parametres!$D$13-IF(Q$3&lt;=Parametres!$D$99,Parametres!$D$100,0)))</f>
        <v/>
      </c>
      <c r="R24" s="206">
        <f>MAX(0,R23*(Parametres!$D$13-IF(R$3&lt;=Parametres!$D$99,Parametres!$D$100,0)))</f>
        <v/>
      </c>
      <c r="S24" s="206">
        <f>MAX(0,S23*(Parametres!$D$13-IF(S$3&lt;=Parametres!$D$99,Parametres!$D$100,0)))</f>
        <v/>
      </c>
      <c r="T24" s="206">
        <f>MAX(0,T23*(Parametres!$D$13-IF(T$3&lt;=Parametres!$D$99,Parametres!$D$100,0)))</f>
        <v/>
      </c>
      <c r="U24" s="206">
        <f>MAX(0,U23*(Parametres!$D$13-IF(U$3&lt;=Parametres!$D$99,Parametres!$D$100,0)))</f>
        <v/>
      </c>
      <c r="V24" s="206">
        <f>MAX(0,V23*(Parametres!$D$13-IF(V$3&lt;=Parametres!$D$99,Parametres!$D$100,0)))</f>
        <v/>
      </c>
      <c r="W24" s="206">
        <f>MAX(0,W23*(Parametres!$D$13-IF(W$3&lt;=Parametres!$D$99,Parametres!$D$100,0)))</f>
        <v/>
      </c>
      <c r="X24" s="206">
        <f>MAX(0,X23*(Parametres!$D$13-IF(X$3&lt;=Parametres!$D$99,Parametres!$D$100,0)))</f>
        <v/>
      </c>
      <c r="Y24" s="206">
        <f>MAX(0,Y23*(Parametres!$D$13-IF(Y$3&lt;=Parametres!$D$99,Parametres!$D$100,0)))</f>
        <v/>
      </c>
      <c r="Z24" s="206">
        <f>MAX(0,Z23*(Parametres!$D$13-IF(Z$3&lt;=Parametres!$D$99,Parametres!$D$100,0)))</f>
        <v/>
      </c>
      <c r="AA24" s="206">
        <f>MAX(0,AA23*(Parametres!$D$13-IF(AA$3&lt;=Parametres!$D$99,Parametres!$D$100,0)))</f>
        <v/>
      </c>
      <c r="AB24" s="206">
        <f>MAX(0,AB23*(Parametres!$D$13-IF(AB$3&lt;=Parametres!$D$99,Parametres!$D$100,0)))</f>
        <v/>
      </c>
      <c r="AC24" s="206">
        <f>MAX(0,AC23*(Parametres!$D$13-IF(AC$3&lt;=Parametres!$D$99,Parametres!$D$100,0)))</f>
        <v/>
      </c>
      <c r="AD24" s="206">
        <f>MAX(0,AD23*(Parametres!$D$13-IF(AD$3&lt;=Parametres!$D$99,Parametres!$D$100,0)))</f>
        <v/>
      </c>
      <c r="AE24" s="206">
        <f>MAX(0,AE23*(Parametres!$D$13-IF(AE$3&lt;=Parametres!$D$99,Parametres!$D$100,0)))</f>
        <v/>
      </c>
      <c r="AF24" s="206">
        <f>MAX(0,AF23*(Parametres!$D$13-IF(AF$3&lt;=Parametres!$D$99,Parametres!$D$100,0)))</f>
        <v/>
      </c>
      <c r="AG24" s="206">
        <f>MAX(0,AG23*(Parametres!$D$13-IF(AG$3&lt;=Parametres!$D$99,Parametres!$D$100,0)))</f>
        <v/>
      </c>
      <c r="AH24" s="206">
        <f>MAX(0,AH23*(Parametres!$D$13-IF(AH$3&lt;=Parametres!$D$99,Parametres!$D$100,0)))</f>
        <v/>
      </c>
      <c r="AI24" s="206">
        <f>MAX(0,AI23*(Parametres!$D$13-IF(AI$3&lt;=Parametres!$D$99,Parametres!$D$100,0)))</f>
        <v/>
      </c>
      <c r="AJ24" s="206">
        <f>MAX(0,AJ23*(Parametres!$D$13-IF(AJ$3&lt;=Parametres!$D$99,Parametres!$D$100,0)))</f>
        <v/>
      </c>
      <c r="AK24" s="206">
        <f>MAX(0,AK23*(Parametres!$D$13-IF(AK$3&lt;=Parametres!$D$99,Parametres!$D$100,0)))</f>
        <v/>
      </c>
    </row>
    <row r="25" s="143">
      <c r="A25" s="149" t="n"/>
      <c r="B25" s="149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49" t="n"/>
      <c r="Y25" s="149" t="n"/>
      <c r="Z25" s="149" t="n"/>
      <c r="AA25" s="149" t="n"/>
      <c r="AB25" s="149" t="n"/>
      <c r="AC25" s="149" t="n"/>
      <c r="AD25" s="149" t="n"/>
      <c r="AE25" s="149" t="n"/>
      <c r="AF25" s="149" t="n"/>
      <c r="AG25" s="149" t="n"/>
      <c r="AH25" s="149" t="n"/>
      <c r="AI25" s="149" t="n"/>
      <c r="AJ25" s="149" t="n"/>
      <c r="AK25" s="149" t="n"/>
    </row>
    <row r="26" ht="18" customHeight="1" s="143">
      <c r="A26" s="150" t="inlineStr">
        <is>
          <t>MISE EN LIGNE VIDÉO — Ampianaro B2B (croissance ralentie A2/A3 × multiplicateur acquisition)</t>
        </is>
      </c>
      <c r="B26" s="150" t="n"/>
      <c r="C26" s="150" t="n"/>
      <c r="D26" s="150" t="n"/>
      <c r="E26" s="150" t="n"/>
      <c r="F26" s="150" t="n"/>
      <c r="G26" s="150" t="n"/>
      <c r="H26" s="150" t="n"/>
      <c r="I26" s="150" t="n"/>
      <c r="J26" s="150" t="n"/>
      <c r="K26" s="150" t="n"/>
      <c r="L26" s="150" t="n"/>
      <c r="M26" s="150" t="n"/>
      <c r="N26" s="150" t="n"/>
      <c r="O26" s="150" t="n"/>
      <c r="P26" s="150" t="n"/>
      <c r="Q26" s="150" t="n"/>
      <c r="R26" s="150" t="n"/>
      <c r="S26" s="150" t="n"/>
      <c r="T26" s="150" t="n"/>
      <c r="U26" s="150" t="n"/>
      <c r="V26" s="150" t="n"/>
      <c r="W26" s="150" t="n"/>
      <c r="X26" s="150" t="n"/>
      <c r="Y26" s="150" t="n"/>
      <c r="Z26" s="150" t="n"/>
      <c r="AA26" s="150" t="n"/>
      <c r="AB26" s="150" t="n"/>
      <c r="AC26" s="150" t="n"/>
      <c r="AD26" s="150" t="n"/>
      <c r="AE26" s="150" t="n"/>
      <c r="AF26" s="150" t="n"/>
      <c r="AG26" s="150" t="n"/>
      <c r="AH26" s="150" t="n"/>
      <c r="AI26" s="150" t="n"/>
      <c r="AJ26" s="150" t="n"/>
      <c r="AK26" s="150" t="n"/>
    </row>
    <row r="27" s="143">
      <c r="A27" s="149" t="inlineStr">
        <is>
          <t>Nouveaux clients vidéo (croissance nette + remplacement du churn)</t>
        </is>
      </c>
      <c r="B27" s="202">
        <f>B29</f>
        <v/>
      </c>
      <c r="C27" s="155">
        <f>C29-B29*(1-Parametres!$D$25)</f>
        <v/>
      </c>
      <c r="D27" s="155">
        <f>D29-C29*(1-Parametres!$D$25)</f>
        <v/>
      </c>
      <c r="E27" s="155">
        <f>E29-D29*(1-Parametres!$D$25)</f>
        <v/>
      </c>
      <c r="F27" s="155">
        <f>F29-E29*(1-Parametres!$D$25)</f>
        <v/>
      </c>
      <c r="G27" s="155">
        <f>G29-F29*(1-Parametres!$D$25)</f>
        <v/>
      </c>
      <c r="H27" s="155">
        <f>H29-G29*(1-Parametres!$D$25)</f>
        <v/>
      </c>
      <c r="I27" s="155">
        <f>I29-H29*(1-Parametres!$D$25)</f>
        <v/>
      </c>
      <c r="J27" s="155">
        <f>J29-I29*(1-Parametres!$D$25)</f>
        <v/>
      </c>
      <c r="K27" s="155">
        <f>K29-J29*(1-Parametres!$D$25)</f>
        <v/>
      </c>
      <c r="L27" s="155">
        <f>L29-K29*(1-Parametres!$D$25)</f>
        <v/>
      </c>
      <c r="M27" s="155">
        <f>M29-L29*(1-Parametres!$D$25)</f>
        <v/>
      </c>
      <c r="N27" s="155">
        <f>N29-M29*(1-Parametres!$D$25)</f>
        <v/>
      </c>
      <c r="O27" s="155">
        <f>O29-N29*(1-Parametres!$D$25)</f>
        <v/>
      </c>
      <c r="P27" s="155">
        <f>P29-O29*(1-Parametres!$D$25)</f>
        <v/>
      </c>
      <c r="Q27" s="155">
        <f>Q29-P29*(1-Parametres!$D$25)</f>
        <v/>
      </c>
      <c r="R27" s="155">
        <f>R29-Q29*(1-Parametres!$D$25)</f>
        <v/>
      </c>
      <c r="S27" s="155">
        <f>S29-R29*(1-Parametres!$D$25)</f>
        <v/>
      </c>
      <c r="T27" s="155">
        <f>T29-S29*(1-Parametres!$D$25)</f>
        <v/>
      </c>
      <c r="U27" s="155">
        <f>U29-T29*(1-Parametres!$D$25)</f>
        <v/>
      </c>
      <c r="V27" s="155">
        <f>V29-U29*(1-Parametres!$D$25)</f>
        <v/>
      </c>
      <c r="W27" s="155">
        <f>W29-V29*(1-Parametres!$D$25)</f>
        <v/>
      </c>
      <c r="X27" s="155">
        <f>X29-W29*(1-Parametres!$D$25)</f>
        <v/>
      </c>
      <c r="Y27" s="155">
        <f>Y29-X29*(1-Parametres!$D$25)</f>
        <v/>
      </c>
      <c r="Z27" s="155">
        <f>Z29-Y29*(1-Parametres!$D$25)</f>
        <v/>
      </c>
      <c r="AA27" s="155">
        <f>AA29-Z29*(1-Parametres!$D$25)</f>
        <v/>
      </c>
      <c r="AB27" s="155">
        <f>AB29-AA29*(1-Parametres!$D$25)</f>
        <v/>
      </c>
      <c r="AC27" s="155">
        <f>AC29-AB29*(1-Parametres!$D$25)</f>
        <v/>
      </c>
      <c r="AD27" s="155">
        <f>AD29-AC29*(1-Parametres!$D$25)</f>
        <v/>
      </c>
      <c r="AE27" s="155">
        <f>AE29-AD29*(1-Parametres!$D$25)</f>
        <v/>
      </c>
      <c r="AF27" s="155">
        <f>AF29-AE29*(1-Parametres!$D$25)</f>
        <v/>
      </c>
      <c r="AG27" s="155">
        <f>AG29-AF29*(1-Parametres!$D$25)</f>
        <v/>
      </c>
      <c r="AH27" s="155">
        <f>AH29-AG29*(1-Parametres!$D$25)</f>
        <v/>
      </c>
      <c r="AI27" s="155">
        <f>AI29-AH29*(1-Parametres!$D$25)</f>
        <v/>
      </c>
      <c r="AJ27" s="155">
        <f>AJ29-AI29*(1-Parametres!$D$25)</f>
        <v/>
      </c>
      <c r="AK27" s="155">
        <f>AK29-AJ29*(1-Parametres!$D$25)</f>
        <v/>
      </c>
    </row>
    <row r="28" s="143">
      <c r="A28" s="149" t="inlineStr">
        <is>
          <t>Clients perdus (churn)</t>
        </is>
      </c>
      <c r="B28" s="202">
        <f>0</f>
        <v/>
      </c>
      <c r="C28" s="155">
        <f>B29*Parametres!$D$25</f>
        <v/>
      </c>
      <c r="D28" s="155">
        <f>C29*Parametres!$D$25</f>
        <v/>
      </c>
      <c r="E28" s="155">
        <f>D29*Parametres!$D$25</f>
        <v/>
      </c>
      <c r="F28" s="155">
        <f>E29*Parametres!$D$25</f>
        <v/>
      </c>
      <c r="G28" s="155">
        <f>F29*Parametres!$D$25</f>
        <v/>
      </c>
      <c r="H28" s="155">
        <f>G29*Parametres!$D$25</f>
        <v/>
      </c>
      <c r="I28" s="155">
        <f>H29*Parametres!$D$25</f>
        <v/>
      </c>
      <c r="J28" s="155">
        <f>I29*Parametres!$D$25</f>
        <v/>
      </c>
      <c r="K28" s="155">
        <f>J29*Parametres!$D$25</f>
        <v/>
      </c>
      <c r="L28" s="155">
        <f>K29*Parametres!$D$25</f>
        <v/>
      </c>
      <c r="M28" s="155">
        <f>L29*Parametres!$D$25</f>
        <v/>
      </c>
      <c r="N28" s="155">
        <f>M29*Parametres!$D$25</f>
        <v/>
      </c>
      <c r="O28" s="155">
        <f>N29*Parametres!$D$25</f>
        <v/>
      </c>
      <c r="P28" s="155">
        <f>O29*Parametres!$D$25</f>
        <v/>
      </c>
      <c r="Q28" s="155">
        <f>P29*Parametres!$D$25</f>
        <v/>
      </c>
      <c r="R28" s="155">
        <f>Q29*Parametres!$D$25</f>
        <v/>
      </c>
      <c r="S28" s="155">
        <f>R29*Parametres!$D$25</f>
        <v/>
      </c>
      <c r="T28" s="155">
        <f>S29*Parametres!$D$25</f>
        <v/>
      </c>
      <c r="U28" s="155">
        <f>T29*Parametres!$D$25</f>
        <v/>
      </c>
      <c r="V28" s="155">
        <f>U29*Parametres!$D$25</f>
        <v/>
      </c>
      <c r="W28" s="155">
        <f>V29*Parametres!$D$25</f>
        <v/>
      </c>
      <c r="X28" s="155">
        <f>W29*Parametres!$D$25</f>
        <v/>
      </c>
      <c r="Y28" s="155">
        <f>X29*Parametres!$D$25</f>
        <v/>
      </c>
      <c r="Z28" s="155">
        <f>Y29*Parametres!$D$25</f>
        <v/>
      </c>
      <c r="AA28" s="155">
        <f>Z29*Parametres!$D$25</f>
        <v/>
      </c>
      <c r="AB28" s="155">
        <f>AA29*Parametres!$D$25</f>
        <v/>
      </c>
      <c r="AC28" s="155">
        <f>AB29*Parametres!$D$25</f>
        <v/>
      </c>
      <c r="AD28" s="155">
        <f>AC29*Parametres!$D$25</f>
        <v/>
      </c>
      <c r="AE28" s="155">
        <f>AD29*Parametres!$D$25</f>
        <v/>
      </c>
      <c r="AF28" s="155">
        <f>AE29*Parametres!$D$25</f>
        <v/>
      </c>
      <c r="AG28" s="155">
        <f>AF29*Parametres!$D$25</f>
        <v/>
      </c>
      <c r="AH28" s="155">
        <f>AG29*Parametres!$D$25</f>
        <v/>
      </c>
      <c r="AI28" s="155">
        <f>AH29*Parametres!$D$25</f>
        <v/>
      </c>
      <c r="AJ28" s="155">
        <f>AI29*Parametres!$D$25</f>
        <v/>
      </c>
      <c r="AK28" s="155">
        <f>AJ29*Parametres!$D$25</f>
        <v/>
      </c>
    </row>
    <row r="29" s="143">
      <c r="A29" s="147" t="inlineStr">
        <is>
          <t>Clients vidéo actifs</t>
        </is>
      </c>
      <c r="B29" s="204">
        <f>Parametres!$D$24*(1-IF(Parametres!$B$158=1,Parametres!$B$159,0))</f>
        <v/>
      </c>
      <c r="C29" s="204">
        <f>B29*(1+IF(C8=1,0,CHOOSE(C$2,Parametres!$F$51,Parametres!$G$51,Parametres!$H$51)*C7))</f>
        <v/>
      </c>
      <c r="D29" s="204">
        <f>C29*(1+IF(D8=1,0,CHOOSE(D$2,Parametres!$F$51,Parametres!$G$51,Parametres!$H$51)*D7))</f>
        <v/>
      </c>
      <c r="E29" s="204">
        <f>D29*(1+IF(E8=1,0,CHOOSE(E$2,Parametres!$F$51,Parametres!$G$51,Parametres!$H$51)*E7))</f>
        <v/>
      </c>
      <c r="F29" s="204">
        <f>E29*(1+IF(F8=1,0,CHOOSE(F$2,Parametres!$F$51,Parametres!$G$51,Parametres!$H$51)*F7))</f>
        <v/>
      </c>
      <c r="G29" s="204">
        <f>F29*(1+IF(G8=1,0,CHOOSE(G$2,Parametres!$F$51,Parametres!$G$51,Parametres!$H$51)*G7))</f>
        <v/>
      </c>
      <c r="H29" s="204">
        <f>G29*(1+IF(H8=1,0,CHOOSE(H$2,Parametres!$F$51,Parametres!$G$51,Parametres!$H$51)*H7))</f>
        <v/>
      </c>
      <c r="I29" s="204">
        <f>H29*(1+IF(I8=1,0,CHOOSE(I$2,Parametres!$F$51,Parametres!$G$51,Parametres!$H$51)*I7))</f>
        <v/>
      </c>
      <c r="J29" s="204">
        <f>I29*(1+IF(J8=1,0,CHOOSE(J$2,Parametres!$F$51,Parametres!$G$51,Parametres!$H$51)*J7))</f>
        <v/>
      </c>
      <c r="K29" s="204">
        <f>J29*(1+IF(K8=1,0,CHOOSE(K$2,Parametres!$F$51,Parametres!$G$51,Parametres!$H$51)*K7))</f>
        <v/>
      </c>
      <c r="L29" s="204">
        <f>K29*(1+IF(L8=1,0,CHOOSE(L$2,Parametres!$F$51,Parametres!$G$51,Parametres!$H$51)*L7))</f>
        <v/>
      </c>
      <c r="M29" s="204">
        <f>L29*(1+IF(M8=1,0,CHOOSE(M$2,Parametres!$F$51,Parametres!$G$51,Parametres!$H$51)*M7))</f>
        <v/>
      </c>
      <c r="N29" s="204">
        <f>M29*(1+IF(N8=1,0,CHOOSE(N$2,Parametres!$F$51,Parametres!$G$51,Parametres!$H$51)*N7))</f>
        <v/>
      </c>
      <c r="O29" s="204">
        <f>N29*(1+IF(O8=1,0,CHOOSE(O$2,Parametres!$F$51,Parametres!$G$51,Parametres!$H$51)*O7))</f>
        <v/>
      </c>
      <c r="P29" s="204">
        <f>O29*(1+IF(P8=1,0,CHOOSE(P$2,Parametres!$F$51,Parametres!$G$51,Parametres!$H$51)*P7))</f>
        <v/>
      </c>
      <c r="Q29" s="204">
        <f>P29*(1+IF(Q8=1,0,CHOOSE(Q$2,Parametres!$F$51,Parametres!$G$51,Parametres!$H$51)*Q7))</f>
        <v/>
      </c>
      <c r="R29" s="204">
        <f>Q29*(1+IF(R8=1,0,CHOOSE(R$2,Parametres!$F$51,Parametres!$G$51,Parametres!$H$51)*R7))</f>
        <v/>
      </c>
      <c r="S29" s="204">
        <f>R29*(1+IF(S8=1,0,CHOOSE(S$2,Parametres!$F$51,Parametres!$G$51,Parametres!$H$51)*S7))</f>
        <v/>
      </c>
      <c r="T29" s="204">
        <f>S29*(1+IF(T8=1,0,CHOOSE(T$2,Parametres!$F$51,Parametres!$G$51,Parametres!$H$51)*T7))</f>
        <v/>
      </c>
      <c r="U29" s="204">
        <f>T29*(1+IF(U8=1,0,CHOOSE(U$2,Parametres!$F$51,Parametres!$G$51,Parametres!$H$51)*U7))</f>
        <v/>
      </c>
      <c r="V29" s="204">
        <f>U29*(1+IF(V8=1,0,CHOOSE(V$2,Parametres!$F$51,Parametres!$G$51,Parametres!$H$51)*V7))</f>
        <v/>
      </c>
      <c r="W29" s="204">
        <f>V29*(1+IF(W8=1,0,CHOOSE(W$2,Parametres!$F$51,Parametres!$G$51,Parametres!$H$51)*W7))</f>
        <v/>
      </c>
      <c r="X29" s="204">
        <f>W29*(1+IF(X8=1,0,CHOOSE(X$2,Parametres!$F$51,Parametres!$G$51,Parametres!$H$51)*X7))</f>
        <v/>
      </c>
      <c r="Y29" s="204">
        <f>X29*(1+IF(Y8=1,0,CHOOSE(Y$2,Parametres!$F$51,Parametres!$G$51,Parametres!$H$51)*Y7))</f>
        <v/>
      </c>
      <c r="Z29" s="204">
        <f>Y29*(1+IF(Z8=1,0,CHOOSE(Z$2,Parametres!$F$51,Parametres!$G$51,Parametres!$H$51)*Z7))</f>
        <v/>
      </c>
      <c r="AA29" s="204">
        <f>Z29*(1+IF(AA8=1,0,CHOOSE(AA$2,Parametres!$F$51,Parametres!$G$51,Parametres!$H$51)*AA7))</f>
        <v/>
      </c>
      <c r="AB29" s="204">
        <f>AA29*(1+IF(AB8=1,0,CHOOSE(AB$2,Parametres!$F$51,Parametres!$G$51,Parametres!$H$51)*AB7))</f>
        <v/>
      </c>
      <c r="AC29" s="204">
        <f>AB29*(1+IF(AC8=1,0,CHOOSE(AC$2,Parametres!$F$51,Parametres!$G$51,Parametres!$H$51)*AC7))</f>
        <v/>
      </c>
      <c r="AD29" s="204">
        <f>AC29*(1+IF(AD8=1,0,CHOOSE(AD$2,Parametres!$F$51,Parametres!$G$51,Parametres!$H$51)*AD7))</f>
        <v/>
      </c>
      <c r="AE29" s="204">
        <f>AD29*(1+IF(AE8=1,0,CHOOSE(AE$2,Parametres!$F$51,Parametres!$G$51,Parametres!$H$51)*AE7))</f>
        <v/>
      </c>
      <c r="AF29" s="204">
        <f>AE29*(1+IF(AF8=1,0,CHOOSE(AF$2,Parametres!$F$51,Parametres!$G$51,Parametres!$H$51)*AF7))</f>
        <v/>
      </c>
      <c r="AG29" s="204">
        <f>AF29*(1+IF(AG8=1,0,CHOOSE(AG$2,Parametres!$F$51,Parametres!$G$51,Parametres!$H$51)*AG7))</f>
        <v/>
      </c>
      <c r="AH29" s="204">
        <f>AG29*(1+IF(AH8=1,0,CHOOSE(AH$2,Parametres!$F$51,Parametres!$G$51,Parametres!$H$51)*AH7))</f>
        <v/>
      </c>
      <c r="AI29" s="204">
        <f>AH29*(1+IF(AI8=1,0,CHOOSE(AI$2,Parametres!$F$51,Parametres!$G$51,Parametres!$H$51)*AI7))</f>
        <v/>
      </c>
      <c r="AJ29" s="204">
        <f>AI29*(1+IF(AJ8=1,0,CHOOSE(AJ$2,Parametres!$F$51,Parametres!$G$51,Parametres!$H$51)*AJ7))</f>
        <v/>
      </c>
      <c r="AK29" s="204">
        <f>AJ29*(1+IF(AK8=1,0,CHOOSE(AK$2,Parametres!$F$51,Parametres!$G$51,Parametres!$H$51)*AK7))</f>
        <v/>
      </c>
    </row>
    <row r="30" s="143">
      <c r="A30" s="149" t="inlineStr">
        <is>
          <t>Prix du service vidéo indexé</t>
        </is>
      </c>
      <c r="B30" s="168">
        <f>Parametres!$D$23*(1+Parametres!$D$45)^(B$2-1)</f>
        <v/>
      </c>
      <c r="C30" s="168">
        <f>Parametres!$D$23*(1+Parametres!$D$45)^(C$2-1)</f>
        <v/>
      </c>
      <c r="D30" s="168">
        <f>Parametres!$D$23*(1+Parametres!$D$45)^(D$2-1)</f>
        <v/>
      </c>
      <c r="E30" s="168">
        <f>Parametres!$D$23*(1+Parametres!$D$45)^(E$2-1)</f>
        <v/>
      </c>
      <c r="F30" s="168">
        <f>Parametres!$D$23*(1+Parametres!$D$45)^(F$2-1)</f>
        <v/>
      </c>
      <c r="G30" s="168">
        <f>Parametres!$D$23*(1+Parametres!$D$45)^(G$2-1)</f>
        <v/>
      </c>
      <c r="H30" s="168">
        <f>Parametres!$D$23*(1+Parametres!$D$45)^(H$2-1)</f>
        <v/>
      </c>
      <c r="I30" s="168">
        <f>Parametres!$D$23*(1+Parametres!$D$45)^(I$2-1)</f>
        <v/>
      </c>
      <c r="J30" s="168">
        <f>Parametres!$D$23*(1+Parametres!$D$45)^(J$2-1)</f>
        <v/>
      </c>
      <c r="K30" s="168">
        <f>Parametres!$D$23*(1+Parametres!$D$45)^(K$2-1)</f>
        <v/>
      </c>
      <c r="L30" s="168">
        <f>Parametres!$D$23*(1+Parametres!$D$45)^(L$2-1)</f>
        <v/>
      </c>
      <c r="M30" s="168">
        <f>Parametres!$D$23*(1+Parametres!$D$45)^(M$2-1)</f>
        <v/>
      </c>
      <c r="N30" s="168">
        <f>Parametres!$D$23*(1+Parametres!$D$45)^(N$2-1)</f>
        <v/>
      </c>
      <c r="O30" s="168">
        <f>Parametres!$D$23*(1+Parametres!$D$45)^(O$2-1)</f>
        <v/>
      </c>
      <c r="P30" s="168">
        <f>Parametres!$D$23*(1+Parametres!$D$45)^(P$2-1)</f>
        <v/>
      </c>
      <c r="Q30" s="168">
        <f>Parametres!$D$23*(1+Parametres!$D$45)^(Q$2-1)</f>
        <v/>
      </c>
      <c r="R30" s="168">
        <f>Parametres!$D$23*(1+Parametres!$D$45)^(R$2-1)</f>
        <v/>
      </c>
      <c r="S30" s="168">
        <f>Parametres!$D$23*(1+Parametres!$D$45)^(S$2-1)</f>
        <v/>
      </c>
      <c r="T30" s="168">
        <f>Parametres!$D$23*(1+Parametres!$D$45)^(T$2-1)</f>
        <v/>
      </c>
      <c r="U30" s="168">
        <f>Parametres!$D$23*(1+Parametres!$D$45)^(U$2-1)</f>
        <v/>
      </c>
      <c r="V30" s="168">
        <f>Parametres!$D$23*(1+Parametres!$D$45)^(V$2-1)</f>
        <v/>
      </c>
      <c r="W30" s="168">
        <f>Parametres!$D$23*(1+Parametres!$D$45)^(W$2-1)</f>
        <v/>
      </c>
      <c r="X30" s="168">
        <f>Parametres!$D$23*(1+Parametres!$D$45)^(X$2-1)</f>
        <v/>
      </c>
      <c r="Y30" s="168">
        <f>Parametres!$D$23*(1+Parametres!$D$45)^(Y$2-1)</f>
        <v/>
      </c>
      <c r="Z30" s="168">
        <f>Parametres!$D$23*(1+Parametres!$D$45)^(Z$2-1)</f>
        <v/>
      </c>
      <c r="AA30" s="168">
        <f>Parametres!$D$23*(1+Parametres!$D$45)^(AA$2-1)</f>
        <v/>
      </c>
      <c r="AB30" s="168">
        <f>Parametres!$D$23*(1+Parametres!$D$45)^(AB$2-1)</f>
        <v/>
      </c>
      <c r="AC30" s="168">
        <f>Parametres!$D$23*(1+Parametres!$D$45)^(AC$2-1)</f>
        <v/>
      </c>
      <c r="AD30" s="168">
        <f>Parametres!$D$23*(1+Parametres!$D$45)^(AD$2-1)</f>
        <v/>
      </c>
      <c r="AE30" s="168">
        <f>Parametres!$D$23*(1+Parametres!$D$45)^(AE$2-1)</f>
        <v/>
      </c>
      <c r="AF30" s="168">
        <f>Parametres!$D$23*(1+Parametres!$D$45)^(AF$2-1)</f>
        <v/>
      </c>
      <c r="AG30" s="168">
        <f>Parametres!$D$23*(1+Parametres!$D$45)^(AG$2-1)</f>
        <v/>
      </c>
      <c r="AH30" s="168">
        <f>Parametres!$D$23*(1+Parametres!$D$45)^(AH$2-1)</f>
        <v/>
      </c>
      <c r="AI30" s="168">
        <f>Parametres!$D$23*(1+Parametres!$D$45)^(AI$2-1)</f>
        <v/>
      </c>
      <c r="AJ30" s="168">
        <f>Parametres!$D$23*(1+Parametres!$D$45)^(AJ$2-1)</f>
        <v/>
      </c>
      <c r="AK30" s="168">
        <f>Parametres!$D$23*(1+Parametres!$D$45)^(AK$2-1)</f>
        <v/>
      </c>
    </row>
    <row r="31" s="143">
      <c r="A31" s="147" t="inlineStr">
        <is>
          <t>CA vidéo (MRR Ampianaro B2B)</t>
        </is>
      </c>
      <c r="B31" s="205">
        <f>B29*B30</f>
        <v/>
      </c>
      <c r="C31" s="205">
        <f>C29*C30</f>
        <v/>
      </c>
      <c r="D31" s="205">
        <f>D29*D30</f>
        <v/>
      </c>
      <c r="E31" s="205">
        <f>E29*E30</f>
        <v/>
      </c>
      <c r="F31" s="205">
        <f>F29*F30</f>
        <v/>
      </c>
      <c r="G31" s="205">
        <f>G29*G30</f>
        <v/>
      </c>
      <c r="H31" s="205">
        <f>H29*H30</f>
        <v/>
      </c>
      <c r="I31" s="205">
        <f>I29*I30</f>
        <v/>
      </c>
      <c r="J31" s="205">
        <f>J29*J30</f>
        <v/>
      </c>
      <c r="K31" s="205">
        <f>K29*K30</f>
        <v/>
      </c>
      <c r="L31" s="205">
        <f>L29*L30</f>
        <v/>
      </c>
      <c r="M31" s="205">
        <f>M29*M30</f>
        <v/>
      </c>
      <c r="N31" s="205">
        <f>N29*N30</f>
        <v/>
      </c>
      <c r="O31" s="205">
        <f>O29*O30</f>
        <v/>
      </c>
      <c r="P31" s="205">
        <f>P29*P30</f>
        <v/>
      </c>
      <c r="Q31" s="205">
        <f>Q29*Q30</f>
        <v/>
      </c>
      <c r="R31" s="205">
        <f>R29*R30</f>
        <v/>
      </c>
      <c r="S31" s="205">
        <f>S29*S30</f>
        <v/>
      </c>
      <c r="T31" s="205">
        <f>T29*T30</f>
        <v/>
      </c>
      <c r="U31" s="205">
        <f>U29*U30</f>
        <v/>
      </c>
      <c r="V31" s="205">
        <f>V29*V30</f>
        <v/>
      </c>
      <c r="W31" s="205">
        <f>W29*W30</f>
        <v/>
      </c>
      <c r="X31" s="205">
        <f>X29*X30</f>
        <v/>
      </c>
      <c r="Y31" s="205">
        <f>Y29*Y30</f>
        <v/>
      </c>
      <c r="Z31" s="205">
        <f>Z29*Z30</f>
        <v/>
      </c>
      <c r="AA31" s="205">
        <f>AA29*AA30</f>
        <v/>
      </c>
      <c r="AB31" s="205">
        <f>AB29*AB30</f>
        <v/>
      </c>
      <c r="AC31" s="205">
        <f>AC29*AC30</f>
        <v/>
      </c>
      <c r="AD31" s="205">
        <f>AD29*AD30</f>
        <v/>
      </c>
      <c r="AE31" s="205">
        <f>AE29*AE30</f>
        <v/>
      </c>
      <c r="AF31" s="205">
        <f>AF29*AF30</f>
        <v/>
      </c>
      <c r="AG31" s="205">
        <f>AG29*AG30</f>
        <v/>
      </c>
      <c r="AH31" s="205">
        <f>AH29*AH30</f>
        <v/>
      </c>
      <c r="AI31" s="205">
        <f>AI29*AI30</f>
        <v/>
      </c>
      <c r="AJ31" s="205">
        <f>AJ29*AJ30</f>
        <v/>
      </c>
      <c r="AK31" s="205">
        <f>AK29*AK30</f>
        <v/>
      </c>
    </row>
    <row r="32" s="143">
      <c r="A32" s="149" t="n"/>
      <c r="B32" s="149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 t="n"/>
      <c r="S32" s="149" t="n"/>
      <c r="T32" s="149" t="n"/>
      <c r="U32" s="149" t="n"/>
      <c r="V32" s="149" t="n"/>
      <c r="W32" s="149" t="n"/>
      <c r="X32" s="149" t="n"/>
      <c r="Y32" s="149" t="n"/>
      <c r="Z32" s="149" t="n"/>
      <c r="AA32" s="149" t="n"/>
      <c r="AB32" s="149" t="n"/>
      <c r="AC32" s="149" t="n"/>
      <c r="AD32" s="149" t="n"/>
      <c r="AE32" s="149" t="n"/>
      <c r="AF32" s="149" t="n"/>
      <c r="AG32" s="149" t="n"/>
      <c r="AH32" s="149" t="n"/>
      <c r="AI32" s="149" t="n"/>
      <c r="AJ32" s="149" t="n"/>
      <c r="AK32" s="149" t="n"/>
    </row>
    <row r="33" ht="18" customHeight="1" s="143">
      <c r="A33" s="150" t="inlineStr">
        <is>
          <t>OFFRE &amp; DEMANDE — LOCATIONS PRO Ampindramo B2B2C (loueurs, capacité, paliers 30/20/15 %)</t>
        </is>
      </c>
      <c r="B33" s="150" t="n"/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0" t="n"/>
      <c r="Q33" s="150" t="n"/>
      <c r="R33" s="150" t="n"/>
      <c r="S33" s="150" t="n"/>
      <c r="T33" s="150" t="n"/>
      <c r="U33" s="150" t="n"/>
      <c r="V33" s="150" t="n"/>
      <c r="W33" s="150" t="n"/>
      <c r="X33" s="150" t="n"/>
      <c r="Y33" s="150" t="n"/>
      <c r="Z33" s="150" t="n"/>
      <c r="AA33" s="150" t="n"/>
      <c r="AB33" s="150" t="n"/>
      <c r="AC33" s="150" t="n"/>
      <c r="AD33" s="150" t="n"/>
      <c r="AE33" s="150" t="n"/>
      <c r="AF33" s="150" t="n"/>
      <c r="AG33" s="150" t="n"/>
      <c r="AH33" s="150" t="n"/>
      <c r="AI33" s="150" t="n"/>
      <c r="AJ33" s="150" t="n"/>
      <c r="AK33" s="150" t="n"/>
    </row>
    <row r="34" s="143">
      <c r="A34" s="149" t="inlineStr">
        <is>
          <t>Nouveaux loueurs pro onboardés (M1 = stock initial)</t>
        </is>
      </c>
      <c r="B34" s="155">
        <f>Parametres!$D$86*(1-IF(Parametres!$B$158=1,Parametres!$B$159,0))</f>
        <v/>
      </c>
      <c r="C34" s="155">
        <f>IF(B70=1,Parametres!$D$88,Parametres!$D$87)</f>
        <v/>
      </c>
      <c r="D34" s="155">
        <f>IF(C70=1,Parametres!$D$88,Parametres!$D$87)</f>
        <v/>
      </c>
      <c r="E34" s="155">
        <f>IF(D70=1,Parametres!$D$88,Parametres!$D$87)</f>
        <v/>
      </c>
      <c r="F34" s="155">
        <f>IF(E70=1,Parametres!$D$88,Parametres!$D$87)</f>
        <v/>
      </c>
      <c r="G34" s="155">
        <f>IF(F70=1,Parametres!$D$88,Parametres!$D$87)</f>
        <v/>
      </c>
      <c r="H34" s="155">
        <f>IF(G70=1,Parametres!$D$88,Parametres!$D$87)</f>
        <v/>
      </c>
      <c r="I34" s="155">
        <f>IF(H70=1,Parametres!$D$88,Parametres!$D$87)</f>
        <v/>
      </c>
      <c r="J34" s="155">
        <f>IF(I70=1,Parametres!$D$88,Parametres!$D$87)</f>
        <v/>
      </c>
      <c r="K34" s="155">
        <f>IF(J70=1,Parametres!$D$88,Parametres!$D$87)</f>
        <v/>
      </c>
      <c r="L34" s="155">
        <f>IF(K70=1,Parametres!$D$88,Parametres!$D$87)</f>
        <v/>
      </c>
      <c r="M34" s="155">
        <f>IF(L70=1,Parametres!$D$88,Parametres!$D$87)</f>
        <v/>
      </c>
      <c r="N34" s="155">
        <f>IF(M70=1,Parametres!$D$88,Parametres!$D$87)</f>
        <v/>
      </c>
      <c r="O34" s="155">
        <f>IF(N70=1,Parametres!$D$88,Parametres!$D$87)</f>
        <v/>
      </c>
      <c r="P34" s="155">
        <f>IF(O70=1,Parametres!$D$88,Parametres!$D$87)</f>
        <v/>
      </c>
      <c r="Q34" s="155">
        <f>IF(P70=1,Parametres!$D$88,Parametres!$D$87)</f>
        <v/>
      </c>
      <c r="R34" s="155">
        <f>IF(Q70=1,Parametres!$D$88,Parametres!$D$87)</f>
        <v/>
      </c>
      <c r="S34" s="155">
        <f>IF(R70=1,Parametres!$D$88,Parametres!$D$87)</f>
        <v/>
      </c>
      <c r="T34" s="155">
        <f>IF(S70=1,Parametres!$D$88,Parametres!$D$87)</f>
        <v/>
      </c>
      <c r="U34" s="155">
        <f>IF(T70=1,Parametres!$D$88,Parametres!$D$87)</f>
        <v/>
      </c>
      <c r="V34" s="155">
        <f>IF(U70=1,Parametres!$D$88,Parametres!$D$87)</f>
        <v/>
      </c>
      <c r="W34" s="155">
        <f>IF(V70=1,Parametres!$D$88,Parametres!$D$87)</f>
        <v/>
      </c>
      <c r="X34" s="155">
        <f>IF(W70=1,Parametres!$D$88,Parametres!$D$87)</f>
        <v/>
      </c>
      <c r="Y34" s="155">
        <f>IF(X70=1,Parametres!$D$88,Parametres!$D$87)</f>
        <v/>
      </c>
      <c r="Z34" s="155">
        <f>IF(Y70=1,Parametres!$D$88,Parametres!$D$87)</f>
        <v/>
      </c>
      <c r="AA34" s="155">
        <f>IF(Z70=1,Parametres!$D$88,Parametres!$D$87)</f>
        <v/>
      </c>
      <c r="AB34" s="155">
        <f>IF(AA70=1,Parametres!$D$88,Parametres!$D$87)</f>
        <v/>
      </c>
      <c r="AC34" s="155">
        <f>IF(AB70=1,Parametres!$D$88,Parametres!$D$87)</f>
        <v/>
      </c>
      <c r="AD34" s="155">
        <f>IF(AC70=1,Parametres!$D$88,Parametres!$D$87)</f>
        <v/>
      </c>
      <c r="AE34" s="155">
        <f>IF(AD70=1,Parametres!$D$88,Parametres!$D$87)</f>
        <v/>
      </c>
      <c r="AF34" s="155">
        <f>IF(AE70=1,Parametres!$D$88,Parametres!$D$87)</f>
        <v/>
      </c>
      <c r="AG34" s="155">
        <f>IF(AF70=1,Parametres!$D$88,Parametres!$D$87)</f>
        <v/>
      </c>
      <c r="AH34" s="155">
        <f>IF(AG70=1,Parametres!$D$88,Parametres!$D$87)</f>
        <v/>
      </c>
      <c r="AI34" s="155">
        <f>IF(AH70=1,Parametres!$D$88,Parametres!$D$87)</f>
        <v/>
      </c>
      <c r="AJ34" s="155">
        <f>IF(AI70=1,Parametres!$D$88,Parametres!$D$87)</f>
        <v/>
      </c>
      <c r="AK34" s="155">
        <f>IF(AJ70=1,Parametres!$D$88,Parametres!$D$87)</f>
        <v/>
      </c>
    </row>
    <row r="35" s="143">
      <c r="A35" s="149" t="inlineStr">
        <is>
          <t>Loueurs pro perdus (churn)</t>
        </is>
      </c>
      <c r="B35" s="202">
        <f>0</f>
        <v/>
      </c>
      <c r="C35" s="155">
        <f>B36*Parametres!$D$89</f>
        <v/>
      </c>
      <c r="D35" s="155">
        <f>C36*Parametres!$D$89</f>
        <v/>
      </c>
      <c r="E35" s="155">
        <f>D36*Parametres!$D$89</f>
        <v/>
      </c>
      <c r="F35" s="155">
        <f>E36*Parametres!$D$89</f>
        <v/>
      </c>
      <c r="G35" s="155">
        <f>F36*Parametres!$D$89</f>
        <v/>
      </c>
      <c r="H35" s="155">
        <f>G36*Parametres!$D$89</f>
        <v/>
      </c>
      <c r="I35" s="155">
        <f>H36*Parametres!$D$89</f>
        <v/>
      </c>
      <c r="J35" s="155">
        <f>I36*Parametres!$D$89</f>
        <v/>
      </c>
      <c r="K35" s="155">
        <f>J36*Parametres!$D$89</f>
        <v/>
      </c>
      <c r="L35" s="155">
        <f>K36*Parametres!$D$89</f>
        <v/>
      </c>
      <c r="M35" s="155">
        <f>L36*Parametres!$D$89</f>
        <v/>
      </c>
      <c r="N35" s="155">
        <f>M36*Parametres!$D$89</f>
        <v/>
      </c>
      <c r="O35" s="155">
        <f>N36*Parametres!$D$89</f>
        <v/>
      </c>
      <c r="P35" s="155">
        <f>O36*Parametres!$D$89</f>
        <v/>
      </c>
      <c r="Q35" s="155">
        <f>P36*Parametres!$D$89</f>
        <v/>
      </c>
      <c r="R35" s="155">
        <f>Q36*Parametres!$D$89</f>
        <v/>
      </c>
      <c r="S35" s="155">
        <f>R36*Parametres!$D$89</f>
        <v/>
      </c>
      <c r="T35" s="155">
        <f>S36*Parametres!$D$89</f>
        <v/>
      </c>
      <c r="U35" s="155">
        <f>T36*Parametres!$D$89</f>
        <v/>
      </c>
      <c r="V35" s="155">
        <f>U36*Parametres!$D$89</f>
        <v/>
      </c>
      <c r="W35" s="155">
        <f>V36*Parametres!$D$89</f>
        <v/>
      </c>
      <c r="X35" s="155">
        <f>W36*Parametres!$D$89</f>
        <v/>
      </c>
      <c r="Y35" s="155">
        <f>X36*Parametres!$D$89</f>
        <v/>
      </c>
      <c r="Z35" s="155">
        <f>Y36*Parametres!$D$89</f>
        <v/>
      </c>
      <c r="AA35" s="155">
        <f>Z36*Parametres!$D$89</f>
        <v/>
      </c>
      <c r="AB35" s="155">
        <f>AA36*Parametres!$D$89</f>
        <v/>
      </c>
      <c r="AC35" s="155">
        <f>AB36*Parametres!$D$89</f>
        <v/>
      </c>
      <c r="AD35" s="155">
        <f>AC36*Parametres!$D$89</f>
        <v/>
      </c>
      <c r="AE35" s="155">
        <f>AD36*Parametres!$D$89</f>
        <v/>
      </c>
      <c r="AF35" s="155">
        <f>AE36*Parametres!$D$89</f>
        <v/>
      </c>
      <c r="AG35" s="155">
        <f>AF36*Parametres!$D$89</f>
        <v/>
      </c>
      <c r="AH35" s="155">
        <f>AG36*Parametres!$D$89</f>
        <v/>
      </c>
      <c r="AI35" s="155">
        <f>AH36*Parametres!$D$89</f>
        <v/>
      </c>
      <c r="AJ35" s="155">
        <f>AI36*Parametres!$D$89</f>
        <v/>
      </c>
      <c r="AK35" s="155">
        <f>AJ36*Parametres!$D$89</f>
        <v/>
      </c>
    </row>
    <row r="36" s="143">
      <c r="A36" s="147" t="inlineStr">
        <is>
          <t>Loueurs pro actifs (stock × (1 − churn) + nouveaux)</t>
        </is>
      </c>
      <c r="B36" s="203">
        <f>B34</f>
        <v/>
      </c>
      <c r="C36" s="204">
        <f>B36*(1-Parametres!$D$89)+C34</f>
        <v/>
      </c>
      <c r="D36" s="204">
        <f>C36*(1-Parametres!$D$89)+D34</f>
        <v/>
      </c>
      <c r="E36" s="204">
        <f>D36*(1-Parametres!$D$89)+E34</f>
        <v/>
      </c>
      <c r="F36" s="204">
        <f>E36*(1-Parametres!$D$89)+F34</f>
        <v/>
      </c>
      <c r="G36" s="204">
        <f>F36*(1-Parametres!$D$89)+G34</f>
        <v/>
      </c>
      <c r="H36" s="204">
        <f>G36*(1-Parametres!$D$89)+H34</f>
        <v/>
      </c>
      <c r="I36" s="204">
        <f>H36*(1-Parametres!$D$89)+I34</f>
        <v/>
      </c>
      <c r="J36" s="204">
        <f>I36*(1-Parametres!$D$89)+J34</f>
        <v/>
      </c>
      <c r="K36" s="204">
        <f>J36*(1-Parametres!$D$89)+K34</f>
        <v/>
      </c>
      <c r="L36" s="204">
        <f>K36*(1-Parametres!$D$89)+L34</f>
        <v/>
      </c>
      <c r="M36" s="204">
        <f>L36*(1-Parametres!$D$89)+M34</f>
        <v/>
      </c>
      <c r="N36" s="204">
        <f>M36*(1-Parametres!$D$89)+N34</f>
        <v/>
      </c>
      <c r="O36" s="204">
        <f>N36*(1-Parametres!$D$89)+O34</f>
        <v/>
      </c>
      <c r="P36" s="204">
        <f>O36*(1-Parametres!$D$89)+P34</f>
        <v/>
      </c>
      <c r="Q36" s="204">
        <f>P36*(1-Parametres!$D$89)+Q34</f>
        <v/>
      </c>
      <c r="R36" s="204">
        <f>Q36*(1-Parametres!$D$89)+R34</f>
        <v/>
      </c>
      <c r="S36" s="204">
        <f>R36*(1-Parametres!$D$89)+S34</f>
        <v/>
      </c>
      <c r="T36" s="204">
        <f>S36*(1-Parametres!$D$89)+T34</f>
        <v/>
      </c>
      <c r="U36" s="204">
        <f>T36*(1-Parametres!$D$89)+U34</f>
        <v/>
      </c>
      <c r="V36" s="204">
        <f>U36*(1-Parametres!$D$89)+V34</f>
        <v/>
      </c>
      <c r="W36" s="204">
        <f>V36*(1-Parametres!$D$89)+W34</f>
        <v/>
      </c>
      <c r="X36" s="204">
        <f>W36*(1-Parametres!$D$89)+X34</f>
        <v/>
      </c>
      <c r="Y36" s="204">
        <f>X36*(1-Parametres!$D$89)+Y34</f>
        <v/>
      </c>
      <c r="Z36" s="204">
        <f>Y36*(1-Parametres!$D$89)+Z34</f>
        <v/>
      </c>
      <c r="AA36" s="204">
        <f>Z36*(1-Parametres!$D$89)+AA34</f>
        <v/>
      </c>
      <c r="AB36" s="204">
        <f>AA36*(1-Parametres!$D$89)+AB34</f>
        <v/>
      </c>
      <c r="AC36" s="204">
        <f>AB36*(1-Parametres!$D$89)+AC34</f>
        <v/>
      </c>
      <c r="AD36" s="204">
        <f>AC36*(1-Parametres!$D$89)+AD34</f>
        <v/>
      </c>
      <c r="AE36" s="204">
        <f>AD36*(1-Parametres!$D$89)+AE34</f>
        <v/>
      </c>
      <c r="AF36" s="204">
        <f>AE36*(1-Parametres!$D$89)+AF34</f>
        <v/>
      </c>
      <c r="AG36" s="204">
        <f>AF36*(1-Parametres!$D$89)+AG34</f>
        <v/>
      </c>
      <c r="AH36" s="204">
        <f>AG36*(1-Parametres!$D$89)+AH34</f>
        <v/>
      </c>
      <c r="AI36" s="204">
        <f>AH36*(1-Parametres!$D$89)+AI34</f>
        <v/>
      </c>
      <c r="AJ36" s="204">
        <f>AI36*(1-Parametres!$D$89)+AJ34</f>
        <v/>
      </c>
      <c r="AK36" s="204">
        <f>AJ36*(1-Parametres!$D$89)+AK34</f>
        <v/>
      </c>
    </row>
    <row r="37" s="143">
      <c r="A37" s="149" t="inlineStr">
        <is>
          <t>Capacité mensuelle (actifs × max par mois × fill rate max)</t>
        </is>
      </c>
      <c r="B37" s="155">
        <f>B36*Parametres!$D$90*Parametres!$D$95</f>
        <v/>
      </c>
      <c r="C37" s="155">
        <f>C36*Parametres!$D$90*Parametres!$D$95</f>
        <v/>
      </c>
      <c r="D37" s="155">
        <f>D36*Parametres!$D$90*Parametres!$D$95</f>
        <v/>
      </c>
      <c r="E37" s="155">
        <f>E36*Parametres!$D$90*Parametres!$D$95</f>
        <v/>
      </c>
      <c r="F37" s="155">
        <f>F36*Parametres!$D$90*Parametres!$D$95</f>
        <v/>
      </c>
      <c r="G37" s="155">
        <f>G36*Parametres!$D$90*Parametres!$D$95</f>
        <v/>
      </c>
      <c r="H37" s="155">
        <f>H36*Parametres!$D$90*Parametres!$D$95</f>
        <v/>
      </c>
      <c r="I37" s="155">
        <f>I36*Parametres!$D$90*Parametres!$D$95</f>
        <v/>
      </c>
      <c r="J37" s="155">
        <f>J36*Parametres!$D$90*Parametres!$D$95</f>
        <v/>
      </c>
      <c r="K37" s="155">
        <f>K36*Parametres!$D$90*Parametres!$D$95</f>
        <v/>
      </c>
      <c r="L37" s="155">
        <f>L36*Parametres!$D$90*Parametres!$D$95</f>
        <v/>
      </c>
      <c r="M37" s="155">
        <f>M36*Parametres!$D$90*Parametres!$D$95</f>
        <v/>
      </c>
      <c r="N37" s="155">
        <f>N36*Parametres!$D$90*Parametres!$D$95</f>
        <v/>
      </c>
      <c r="O37" s="155">
        <f>O36*Parametres!$D$90*Parametres!$D$95</f>
        <v/>
      </c>
      <c r="P37" s="155">
        <f>P36*Parametres!$D$90*Parametres!$D$95</f>
        <v/>
      </c>
      <c r="Q37" s="155">
        <f>Q36*Parametres!$D$90*Parametres!$D$95</f>
        <v/>
      </c>
      <c r="R37" s="155">
        <f>R36*Parametres!$D$90*Parametres!$D$95</f>
        <v/>
      </c>
      <c r="S37" s="155">
        <f>S36*Parametres!$D$90*Parametres!$D$95</f>
        <v/>
      </c>
      <c r="T37" s="155">
        <f>T36*Parametres!$D$90*Parametres!$D$95</f>
        <v/>
      </c>
      <c r="U37" s="155">
        <f>U36*Parametres!$D$90*Parametres!$D$95</f>
        <v/>
      </c>
      <c r="V37" s="155">
        <f>V36*Parametres!$D$90*Parametres!$D$95</f>
        <v/>
      </c>
      <c r="W37" s="155">
        <f>W36*Parametres!$D$90*Parametres!$D$95</f>
        <v/>
      </c>
      <c r="X37" s="155">
        <f>X36*Parametres!$D$90*Parametres!$D$95</f>
        <v/>
      </c>
      <c r="Y37" s="155">
        <f>Y36*Parametres!$D$90*Parametres!$D$95</f>
        <v/>
      </c>
      <c r="Z37" s="155">
        <f>Z36*Parametres!$D$90*Parametres!$D$95</f>
        <v/>
      </c>
      <c r="AA37" s="155">
        <f>AA36*Parametres!$D$90*Parametres!$D$95</f>
        <v/>
      </c>
      <c r="AB37" s="155">
        <f>AB36*Parametres!$D$90*Parametres!$D$95</f>
        <v/>
      </c>
      <c r="AC37" s="155">
        <f>AC36*Parametres!$D$90*Parametres!$D$95</f>
        <v/>
      </c>
      <c r="AD37" s="155">
        <f>AD36*Parametres!$D$90*Parametres!$D$95</f>
        <v/>
      </c>
      <c r="AE37" s="155">
        <f>AE36*Parametres!$D$90*Parametres!$D$95</f>
        <v/>
      </c>
      <c r="AF37" s="155">
        <f>AF36*Parametres!$D$90*Parametres!$D$95</f>
        <v/>
      </c>
      <c r="AG37" s="155">
        <f>AG36*Parametres!$D$90*Parametres!$D$95</f>
        <v/>
      </c>
      <c r="AH37" s="155">
        <f>AH36*Parametres!$D$90*Parametres!$D$95</f>
        <v/>
      </c>
      <c r="AI37" s="155">
        <f>AI36*Parametres!$D$90*Parametres!$D$95</f>
        <v/>
      </c>
      <c r="AJ37" s="155">
        <f>AJ36*Parametres!$D$90*Parametres!$D$95</f>
        <v/>
      </c>
      <c r="AK37" s="155">
        <f>AK36*Parametres!$D$90*Parametres!$D$95</f>
        <v/>
      </c>
    </row>
    <row r="38" s="143">
      <c r="A38" s="149" t="inlineStr">
        <is>
          <t>Demande (locations pro) — croissance section 7 × multiplicateur acquisition</t>
        </is>
      </c>
      <c r="B38" s="155">
        <f>Parametres!$D$29*(1-IF(Parametres!$B$158=1,Parametres!$B$159,0))</f>
        <v/>
      </c>
      <c r="C38" s="155">
        <f>B38*(1+IF(C8=1,0,IF(AND(C$2&gt;=2,B70=0),Parametres!$D$59,CHOOSE(C$2,Parametres!$F$53,Parametres!$G$53,Parametres!$H$53))*C7))</f>
        <v/>
      </c>
      <c r="D38" s="155">
        <f>C38*(1+IF(D8=1,0,IF(AND(D$2&gt;=2,C70=0),Parametres!$D$59,CHOOSE(D$2,Parametres!$F$53,Parametres!$G$53,Parametres!$H$53))*D7))</f>
        <v/>
      </c>
      <c r="E38" s="155">
        <f>D38*(1+IF(E8=1,0,IF(AND(E$2&gt;=2,D70=0),Parametres!$D$59,CHOOSE(E$2,Parametres!$F$53,Parametres!$G$53,Parametres!$H$53))*E7))</f>
        <v/>
      </c>
      <c r="F38" s="155">
        <f>E38*(1+IF(F8=1,0,IF(AND(F$2&gt;=2,E70=0),Parametres!$D$59,CHOOSE(F$2,Parametres!$F$53,Parametres!$G$53,Parametres!$H$53))*F7))</f>
        <v/>
      </c>
      <c r="G38" s="155">
        <f>F38*(1+IF(G8=1,0,IF(AND(G$2&gt;=2,F70=0),Parametres!$D$59,CHOOSE(G$2,Parametres!$F$53,Parametres!$G$53,Parametres!$H$53))*G7))</f>
        <v/>
      </c>
      <c r="H38" s="155">
        <f>G38*(1+IF(H8=1,0,IF(AND(H$2&gt;=2,G70=0),Parametres!$D$59,CHOOSE(H$2,Parametres!$F$53,Parametres!$G$53,Parametres!$H$53))*H7))</f>
        <v/>
      </c>
      <c r="I38" s="155">
        <f>H38*(1+IF(I8=1,0,IF(AND(I$2&gt;=2,H70=0),Parametres!$D$59,CHOOSE(I$2,Parametres!$F$53,Parametres!$G$53,Parametres!$H$53))*I7))</f>
        <v/>
      </c>
      <c r="J38" s="155">
        <f>I38*(1+IF(J8=1,0,IF(AND(J$2&gt;=2,I70=0),Parametres!$D$59,CHOOSE(J$2,Parametres!$F$53,Parametres!$G$53,Parametres!$H$53))*J7))</f>
        <v/>
      </c>
      <c r="K38" s="155">
        <f>J38*(1+IF(K8=1,0,IF(AND(K$2&gt;=2,J70=0),Parametres!$D$59,CHOOSE(K$2,Parametres!$F$53,Parametres!$G$53,Parametres!$H$53))*K7))</f>
        <v/>
      </c>
      <c r="L38" s="155">
        <f>K38*(1+IF(L8=1,0,IF(AND(L$2&gt;=2,K70=0),Parametres!$D$59,CHOOSE(L$2,Parametres!$F$53,Parametres!$G$53,Parametres!$H$53))*L7))</f>
        <v/>
      </c>
      <c r="M38" s="155">
        <f>L38*(1+IF(M8=1,0,IF(AND(M$2&gt;=2,L70=0),Parametres!$D$59,CHOOSE(M$2,Parametres!$F$53,Parametres!$G$53,Parametres!$H$53))*M7))</f>
        <v/>
      </c>
      <c r="N38" s="155">
        <f>M38*(1+IF(N8=1,0,IF(AND(N$2&gt;=2,M70=0),Parametres!$D$59,CHOOSE(N$2,Parametres!$F$53,Parametres!$G$53,Parametres!$H$53))*N7))</f>
        <v/>
      </c>
      <c r="O38" s="155">
        <f>N38*(1+IF(O8=1,0,IF(AND(O$2&gt;=2,N70=0),Parametres!$D$59,CHOOSE(O$2,Parametres!$F$53,Parametres!$G$53,Parametres!$H$53))*O7))</f>
        <v/>
      </c>
      <c r="P38" s="155">
        <f>O38*(1+IF(P8=1,0,IF(AND(P$2&gt;=2,O70=0),Parametres!$D$59,CHOOSE(P$2,Parametres!$F$53,Parametres!$G$53,Parametres!$H$53))*P7))</f>
        <v/>
      </c>
      <c r="Q38" s="155">
        <f>P38*(1+IF(Q8=1,0,IF(AND(Q$2&gt;=2,P70=0),Parametres!$D$59,CHOOSE(Q$2,Parametres!$F$53,Parametres!$G$53,Parametres!$H$53))*Q7))</f>
        <v/>
      </c>
      <c r="R38" s="155">
        <f>Q38*(1+IF(R8=1,0,IF(AND(R$2&gt;=2,Q70=0),Parametres!$D$59,CHOOSE(R$2,Parametres!$F$53,Parametres!$G$53,Parametres!$H$53))*R7))</f>
        <v/>
      </c>
      <c r="S38" s="155">
        <f>R38*(1+IF(S8=1,0,IF(AND(S$2&gt;=2,R70=0),Parametres!$D$59,CHOOSE(S$2,Parametres!$F$53,Parametres!$G$53,Parametres!$H$53))*S7))</f>
        <v/>
      </c>
      <c r="T38" s="155">
        <f>S38*(1+IF(T8=1,0,IF(AND(T$2&gt;=2,S70=0),Parametres!$D$59,CHOOSE(T$2,Parametres!$F$53,Parametres!$G$53,Parametres!$H$53))*T7))</f>
        <v/>
      </c>
      <c r="U38" s="155">
        <f>T38*(1+IF(U8=1,0,IF(AND(U$2&gt;=2,T70=0),Parametres!$D$59,CHOOSE(U$2,Parametres!$F$53,Parametres!$G$53,Parametres!$H$53))*U7))</f>
        <v/>
      </c>
      <c r="V38" s="155">
        <f>U38*(1+IF(V8=1,0,IF(AND(V$2&gt;=2,U70=0),Parametres!$D$59,CHOOSE(V$2,Parametres!$F$53,Parametres!$G$53,Parametres!$H$53))*V7))</f>
        <v/>
      </c>
      <c r="W38" s="155">
        <f>V38*(1+IF(W8=1,0,IF(AND(W$2&gt;=2,V70=0),Parametres!$D$59,CHOOSE(W$2,Parametres!$F$53,Parametres!$G$53,Parametres!$H$53))*W7))</f>
        <v/>
      </c>
      <c r="X38" s="155">
        <f>W38*(1+IF(X8=1,0,IF(AND(X$2&gt;=2,W70=0),Parametres!$D$59,CHOOSE(X$2,Parametres!$F$53,Parametres!$G$53,Parametres!$H$53))*X7))</f>
        <v/>
      </c>
      <c r="Y38" s="155">
        <f>X38*(1+IF(Y8=1,0,IF(AND(Y$2&gt;=2,X70=0),Parametres!$D$59,CHOOSE(Y$2,Parametres!$F$53,Parametres!$G$53,Parametres!$H$53))*Y7))</f>
        <v/>
      </c>
      <c r="Z38" s="155">
        <f>Y38*(1+IF(Z8=1,0,IF(AND(Z$2&gt;=2,Y70=0),Parametres!$D$59,CHOOSE(Z$2,Parametres!$F$53,Parametres!$G$53,Parametres!$H$53))*Z7))</f>
        <v/>
      </c>
      <c r="AA38" s="155">
        <f>Z38*(1+IF(AA8=1,0,IF(AND(AA$2&gt;=2,Z70=0),Parametres!$D$59,CHOOSE(AA$2,Parametres!$F$53,Parametres!$G$53,Parametres!$H$53))*AA7))</f>
        <v/>
      </c>
      <c r="AB38" s="155">
        <f>AA38*(1+IF(AB8=1,0,IF(AND(AB$2&gt;=2,AA70=0),Parametres!$D$59,CHOOSE(AB$2,Parametres!$F$53,Parametres!$G$53,Parametres!$H$53))*AB7))</f>
        <v/>
      </c>
      <c r="AC38" s="155">
        <f>AB38*(1+IF(AC8=1,0,IF(AND(AC$2&gt;=2,AB70=0),Parametres!$D$59,CHOOSE(AC$2,Parametres!$F$53,Parametres!$G$53,Parametres!$H$53))*AC7))</f>
        <v/>
      </c>
      <c r="AD38" s="155">
        <f>AC38*(1+IF(AD8=1,0,IF(AND(AD$2&gt;=2,AC70=0),Parametres!$D$59,CHOOSE(AD$2,Parametres!$F$53,Parametres!$G$53,Parametres!$H$53))*AD7))</f>
        <v/>
      </c>
      <c r="AE38" s="155">
        <f>AD38*(1+IF(AE8=1,0,IF(AND(AE$2&gt;=2,AD70=0),Parametres!$D$59,CHOOSE(AE$2,Parametres!$F$53,Parametres!$G$53,Parametres!$H$53))*AE7))</f>
        <v/>
      </c>
      <c r="AF38" s="155">
        <f>AE38*(1+IF(AF8=1,0,IF(AND(AF$2&gt;=2,AE70=0),Parametres!$D$59,CHOOSE(AF$2,Parametres!$F$53,Parametres!$G$53,Parametres!$H$53))*AF7))</f>
        <v/>
      </c>
      <c r="AG38" s="155">
        <f>AF38*(1+IF(AG8=1,0,IF(AND(AG$2&gt;=2,AF70=0),Parametres!$D$59,CHOOSE(AG$2,Parametres!$F$53,Parametres!$G$53,Parametres!$H$53))*AG7))</f>
        <v/>
      </c>
      <c r="AH38" s="155">
        <f>AG38*(1+IF(AH8=1,0,IF(AND(AH$2&gt;=2,AG70=0),Parametres!$D$59,CHOOSE(AH$2,Parametres!$F$53,Parametres!$G$53,Parametres!$H$53))*AH7))</f>
        <v/>
      </c>
      <c r="AI38" s="155">
        <f>AH38*(1+IF(AI8=1,0,IF(AND(AI$2&gt;=2,AH70=0),Parametres!$D$59,CHOOSE(AI$2,Parametres!$F$53,Parametres!$G$53,Parametres!$H$53))*AI7))</f>
        <v/>
      </c>
      <c r="AJ38" s="155">
        <f>AI38*(1+IF(AJ8=1,0,IF(AND(AJ$2&gt;=2,AI70=0),Parametres!$D$59,CHOOSE(AJ$2,Parametres!$F$53,Parametres!$G$53,Parametres!$H$53))*AJ7))</f>
        <v/>
      </c>
      <c r="AK38" s="155">
        <f>AJ38*(1+IF(AK8=1,0,IF(AND(AK$2&gt;=2,AJ70=0),Parametres!$D$59,CHOOSE(AK$2,Parametres!$F$53,Parametres!$G$53,Parametres!$H$53))*AK7))</f>
        <v/>
      </c>
    </row>
    <row r="39" s="143">
      <c r="A39" s="147" t="inlineStr">
        <is>
          <t>Locations pro réalisées = MIN(demande, capacité)</t>
        </is>
      </c>
      <c r="B39" s="203">
        <f>MIN(B38,B37)</f>
        <v/>
      </c>
      <c r="C39" s="203">
        <f>MIN(C38,C37)</f>
        <v/>
      </c>
      <c r="D39" s="203">
        <f>MIN(D38,D37)</f>
        <v/>
      </c>
      <c r="E39" s="203">
        <f>MIN(E38,E37)</f>
        <v/>
      </c>
      <c r="F39" s="203">
        <f>MIN(F38,F37)</f>
        <v/>
      </c>
      <c r="G39" s="203">
        <f>MIN(G38,G37)</f>
        <v/>
      </c>
      <c r="H39" s="203">
        <f>MIN(H38,H37)</f>
        <v/>
      </c>
      <c r="I39" s="203">
        <f>MIN(I38,I37)</f>
        <v/>
      </c>
      <c r="J39" s="203">
        <f>MIN(J38,J37)</f>
        <v/>
      </c>
      <c r="K39" s="203">
        <f>MIN(K38,K37)</f>
        <v/>
      </c>
      <c r="L39" s="203">
        <f>MIN(L38,L37)</f>
        <v/>
      </c>
      <c r="M39" s="203">
        <f>MIN(M38,M37)</f>
        <v/>
      </c>
      <c r="N39" s="203">
        <f>MIN(N38,N37)</f>
        <v/>
      </c>
      <c r="O39" s="203">
        <f>MIN(O38,O37)</f>
        <v/>
      </c>
      <c r="P39" s="203">
        <f>MIN(P38,P37)</f>
        <v/>
      </c>
      <c r="Q39" s="203">
        <f>MIN(Q38,Q37)</f>
        <v/>
      </c>
      <c r="R39" s="203">
        <f>MIN(R38,R37)</f>
        <v/>
      </c>
      <c r="S39" s="203">
        <f>MIN(S38,S37)</f>
        <v/>
      </c>
      <c r="T39" s="203">
        <f>MIN(T38,T37)</f>
        <v/>
      </c>
      <c r="U39" s="203">
        <f>MIN(U38,U37)</f>
        <v/>
      </c>
      <c r="V39" s="203">
        <f>MIN(V38,V37)</f>
        <v/>
      </c>
      <c r="W39" s="203">
        <f>MIN(W38,W37)</f>
        <v/>
      </c>
      <c r="X39" s="203">
        <f>MIN(X38,X37)</f>
        <v/>
      </c>
      <c r="Y39" s="203">
        <f>MIN(Y38,Y37)</f>
        <v/>
      </c>
      <c r="Z39" s="203">
        <f>MIN(Z38,Z37)</f>
        <v/>
      </c>
      <c r="AA39" s="203">
        <f>MIN(AA38,AA37)</f>
        <v/>
      </c>
      <c r="AB39" s="203">
        <f>MIN(AB38,AB37)</f>
        <v/>
      </c>
      <c r="AC39" s="203">
        <f>MIN(AC38,AC37)</f>
        <v/>
      </c>
      <c r="AD39" s="203">
        <f>MIN(AD38,AD37)</f>
        <v/>
      </c>
      <c r="AE39" s="203">
        <f>MIN(AE38,AE37)</f>
        <v/>
      </c>
      <c r="AF39" s="203">
        <f>MIN(AF38,AF37)</f>
        <v/>
      </c>
      <c r="AG39" s="203">
        <f>MIN(AG38,AG37)</f>
        <v/>
      </c>
      <c r="AH39" s="203">
        <f>MIN(AH38,AH37)</f>
        <v/>
      </c>
      <c r="AI39" s="203">
        <f>MIN(AI38,AI37)</f>
        <v/>
      </c>
      <c r="AJ39" s="203">
        <f>MIN(AJ38,AJ37)</f>
        <v/>
      </c>
      <c r="AK39" s="203">
        <f>MIN(AK38,AK37)</f>
        <v/>
      </c>
    </row>
    <row r="40" s="143">
      <c r="A40" s="149" t="inlineStr">
        <is>
          <t>Demande non servie (pénurie d'offre)</t>
        </is>
      </c>
      <c r="B40" s="202">
        <f>B38-B39</f>
        <v/>
      </c>
      <c r="C40" s="202">
        <f>C38-C39</f>
        <v/>
      </c>
      <c r="D40" s="202">
        <f>D38-D39</f>
        <v/>
      </c>
      <c r="E40" s="202">
        <f>E38-E39</f>
        <v/>
      </c>
      <c r="F40" s="202">
        <f>F38-F39</f>
        <v/>
      </c>
      <c r="G40" s="202">
        <f>G38-G39</f>
        <v/>
      </c>
      <c r="H40" s="202">
        <f>H38-H39</f>
        <v/>
      </c>
      <c r="I40" s="202">
        <f>I38-I39</f>
        <v/>
      </c>
      <c r="J40" s="202">
        <f>J38-J39</f>
        <v/>
      </c>
      <c r="K40" s="202">
        <f>K38-K39</f>
        <v/>
      </c>
      <c r="L40" s="202">
        <f>L38-L39</f>
        <v/>
      </c>
      <c r="M40" s="202">
        <f>M38-M39</f>
        <v/>
      </c>
      <c r="N40" s="202">
        <f>N38-N39</f>
        <v/>
      </c>
      <c r="O40" s="202">
        <f>O38-O39</f>
        <v/>
      </c>
      <c r="P40" s="202">
        <f>P38-P39</f>
        <v/>
      </c>
      <c r="Q40" s="202">
        <f>Q38-Q39</f>
        <v/>
      </c>
      <c r="R40" s="202">
        <f>R38-R39</f>
        <v/>
      </c>
      <c r="S40" s="202">
        <f>S38-S39</f>
        <v/>
      </c>
      <c r="T40" s="202">
        <f>T38-T39</f>
        <v/>
      </c>
      <c r="U40" s="202">
        <f>U38-U39</f>
        <v/>
      </c>
      <c r="V40" s="202">
        <f>V38-V39</f>
        <v/>
      </c>
      <c r="W40" s="202">
        <f>W38-W39</f>
        <v/>
      </c>
      <c r="X40" s="202">
        <f>X38-X39</f>
        <v/>
      </c>
      <c r="Y40" s="202">
        <f>Y38-Y39</f>
        <v/>
      </c>
      <c r="Z40" s="202">
        <f>Z38-Z39</f>
        <v/>
      </c>
      <c r="AA40" s="202">
        <f>AA38-AA39</f>
        <v/>
      </c>
      <c r="AB40" s="202">
        <f>AB38-AB39</f>
        <v/>
      </c>
      <c r="AC40" s="202">
        <f>AC38-AC39</f>
        <v/>
      </c>
      <c r="AD40" s="202">
        <f>AD38-AD39</f>
        <v/>
      </c>
      <c r="AE40" s="202">
        <f>AE38-AE39</f>
        <v/>
      </c>
      <c r="AF40" s="202">
        <f>AF38-AF39</f>
        <v/>
      </c>
      <c r="AG40" s="202">
        <f>AG38-AG39</f>
        <v/>
      </c>
      <c r="AH40" s="202">
        <f>AH38-AH39</f>
        <v/>
      </c>
      <c r="AI40" s="202">
        <f>AI38-AI39</f>
        <v/>
      </c>
      <c r="AJ40" s="202">
        <f>AJ38-AJ39</f>
        <v/>
      </c>
      <c r="AK40" s="202">
        <f>AK38-AK39</f>
        <v/>
      </c>
    </row>
    <row r="41" s="143">
      <c r="A41" s="149" t="inlineStr">
        <is>
          <t>Taux d'utilisation de la capacité brute (réalisées / (actifs × max))</t>
        </is>
      </c>
      <c r="B41" s="152">
        <f>IF(B36*Parametres!$D$90=0,0,B39/(B36*Parametres!$D$90))</f>
        <v/>
      </c>
      <c r="C41" s="152">
        <f>IF(C36*Parametres!$D$90=0,0,C39/(C36*Parametres!$D$90))</f>
        <v/>
      </c>
      <c r="D41" s="152">
        <f>IF(D36*Parametres!$D$90=0,0,D39/(D36*Parametres!$D$90))</f>
        <v/>
      </c>
      <c r="E41" s="152">
        <f>IF(E36*Parametres!$D$90=0,0,E39/(E36*Parametres!$D$90))</f>
        <v/>
      </c>
      <c r="F41" s="152">
        <f>IF(F36*Parametres!$D$90=0,0,F39/(F36*Parametres!$D$90))</f>
        <v/>
      </c>
      <c r="G41" s="152">
        <f>IF(G36*Parametres!$D$90=0,0,G39/(G36*Parametres!$D$90))</f>
        <v/>
      </c>
      <c r="H41" s="152">
        <f>IF(H36*Parametres!$D$90=0,0,H39/(H36*Parametres!$D$90))</f>
        <v/>
      </c>
      <c r="I41" s="152">
        <f>IF(I36*Parametres!$D$90=0,0,I39/(I36*Parametres!$D$90))</f>
        <v/>
      </c>
      <c r="J41" s="152">
        <f>IF(J36*Parametres!$D$90=0,0,J39/(J36*Parametres!$D$90))</f>
        <v/>
      </c>
      <c r="K41" s="152">
        <f>IF(K36*Parametres!$D$90=0,0,K39/(K36*Parametres!$D$90))</f>
        <v/>
      </c>
      <c r="L41" s="152">
        <f>IF(L36*Parametres!$D$90=0,0,L39/(L36*Parametres!$D$90))</f>
        <v/>
      </c>
      <c r="M41" s="152">
        <f>IF(M36*Parametres!$D$90=0,0,M39/(M36*Parametres!$D$90))</f>
        <v/>
      </c>
      <c r="N41" s="152">
        <f>IF(N36*Parametres!$D$90=0,0,N39/(N36*Parametres!$D$90))</f>
        <v/>
      </c>
      <c r="O41" s="152">
        <f>IF(O36*Parametres!$D$90=0,0,O39/(O36*Parametres!$D$90))</f>
        <v/>
      </c>
      <c r="P41" s="152">
        <f>IF(P36*Parametres!$D$90=0,0,P39/(P36*Parametres!$D$90))</f>
        <v/>
      </c>
      <c r="Q41" s="152">
        <f>IF(Q36*Parametres!$D$90=0,0,Q39/(Q36*Parametres!$D$90))</f>
        <v/>
      </c>
      <c r="R41" s="152">
        <f>IF(R36*Parametres!$D$90=0,0,R39/(R36*Parametres!$D$90))</f>
        <v/>
      </c>
      <c r="S41" s="152">
        <f>IF(S36*Parametres!$D$90=0,0,S39/(S36*Parametres!$D$90))</f>
        <v/>
      </c>
      <c r="T41" s="152">
        <f>IF(T36*Parametres!$D$90=0,0,T39/(T36*Parametres!$D$90))</f>
        <v/>
      </c>
      <c r="U41" s="152">
        <f>IF(U36*Parametres!$D$90=0,0,U39/(U36*Parametres!$D$90))</f>
        <v/>
      </c>
      <c r="V41" s="152">
        <f>IF(V36*Parametres!$D$90=0,0,V39/(V36*Parametres!$D$90))</f>
        <v/>
      </c>
      <c r="W41" s="152">
        <f>IF(W36*Parametres!$D$90=0,0,W39/(W36*Parametres!$D$90))</f>
        <v/>
      </c>
      <c r="X41" s="152">
        <f>IF(X36*Parametres!$D$90=0,0,X39/(X36*Parametres!$D$90))</f>
        <v/>
      </c>
      <c r="Y41" s="152">
        <f>IF(Y36*Parametres!$D$90=0,0,Y39/(Y36*Parametres!$D$90))</f>
        <v/>
      </c>
      <c r="Z41" s="152">
        <f>IF(Z36*Parametres!$D$90=0,0,Z39/(Z36*Parametres!$D$90))</f>
        <v/>
      </c>
      <c r="AA41" s="152">
        <f>IF(AA36*Parametres!$D$90=0,0,AA39/(AA36*Parametres!$D$90))</f>
        <v/>
      </c>
      <c r="AB41" s="152">
        <f>IF(AB36*Parametres!$D$90=0,0,AB39/(AB36*Parametres!$D$90))</f>
        <v/>
      </c>
      <c r="AC41" s="152">
        <f>IF(AC36*Parametres!$D$90=0,0,AC39/(AC36*Parametres!$D$90))</f>
        <v/>
      </c>
      <c r="AD41" s="152">
        <f>IF(AD36*Parametres!$D$90=0,0,AD39/(AD36*Parametres!$D$90))</f>
        <v/>
      </c>
      <c r="AE41" s="152">
        <f>IF(AE36*Parametres!$D$90=0,0,AE39/(AE36*Parametres!$D$90))</f>
        <v/>
      </c>
      <c r="AF41" s="152">
        <f>IF(AF36*Parametres!$D$90=0,0,AF39/(AF36*Parametres!$D$90))</f>
        <v/>
      </c>
      <c r="AG41" s="152">
        <f>IF(AG36*Parametres!$D$90=0,0,AG39/(AG36*Parametres!$D$90))</f>
        <v/>
      </c>
      <c r="AH41" s="152">
        <f>IF(AH36*Parametres!$D$90=0,0,AH39/(AH36*Parametres!$D$90))</f>
        <v/>
      </c>
      <c r="AI41" s="152">
        <f>IF(AI36*Parametres!$D$90=0,0,AI39/(AI36*Parametres!$D$90))</f>
        <v/>
      </c>
      <c r="AJ41" s="152">
        <f>IF(AJ36*Parametres!$D$90=0,0,AJ39/(AJ36*Parametres!$D$90))</f>
        <v/>
      </c>
      <c r="AK41" s="152">
        <f>IF(AK36*Parametres!$D$90=0,0,AK39/(AK36*Parametres!$D$90))</f>
        <v/>
      </c>
    </row>
    <row r="42" s="143">
      <c r="A42" s="149" t="inlineStr">
        <is>
          <t>Panier / loyer moyen (indexé par an)</t>
        </is>
      </c>
      <c r="B42" s="168">
        <f>Parametres!$D$30*(1+Parametres!$D$46)^(B$2-1)</f>
        <v/>
      </c>
      <c r="C42" s="168">
        <f>Parametres!$D$30*(1+Parametres!$D$46)^(C$2-1)</f>
        <v/>
      </c>
      <c r="D42" s="168">
        <f>Parametres!$D$30*(1+Parametres!$D$46)^(D$2-1)</f>
        <v/>
      </c>
      <c r="E42" s="168">
        <f>Parametres!$D$30*(1+Parametres!$D$46)^(E$2-1)</f>
        <v/>
      </c>
      <c r="F42" s="168">
        <f>Parametres!$D$30*(1+Parametres!$D$46)^(F$2-1)</f>
        <v/>
      </c>
      <c r="G42" s="168">
        <f>Parametres!$D$30*(1+Parametres!$D$46)^(G$2-1)</f>
        <v/>
      </c>
      <c r="H42" s="168">
        <f>Parametres!$D$30*(1+Parametres!$D$46)^(H$2-1)</f>
        <v/>
      </c>
      <c r="I42" s="168">
        <f>Parametres!$D$30*(1+Parametres!$D$46)^(I$2-1)</f>
        <v/>
      </c>
      <c r="J42" s="168">
        <f>Parametres!$D$30*(1+Parametres!$D$46)^(J$2-1)</f>
        <v/>
      </c>
      <c r="K42" s="168">
        <f>Parametres!$D$30*(1+Parametres!$D$46)^(K$2-1)</f>
        <v/>
      </c>
      <c r="L42" s="168">
        <f>Parametres!$D$30*(1+Parametres!$D$46)^(L$2-1)</f>
        <v/>
      </c>
      <c r="M42" s="168">
        <f>Parametres!$D$30*(1+Parametres!$D$46)^(M$2-1)</f>
        <v/>
      </c>
      <c r="N42" s="168">
        <f>Parametres!$D$30*(1+Parametres!$D$46)^(N$2-1)</f>
        <v/>
      </c>
      <c r="O42" s="168">
        <f>Parametres!$D$30*(1+Parametres!$D$46)^(O$2-1)</f>
        <v/>
      </c>
      <c r="P42" s="168">
        <f>Parametres!$D$30*(1+Parametres!$D$46)^(P$2-1)</f>
        <v/>
      </c>
      <c r="Q42" s="168">
        <f>Parametres!$D$30*(1+Parametres!$D$46)^(Q$2-1)</f>
        <v/>
      </c>
      <c r="R42" s="168">
        <f>Parametres!$D$30*(1+Parametres!$D$46)^(R$2-1)</f>
        <v/>
      </c>
      <c r="S42" s="168">
        <f>Parametres!$D$30*(1+Parametres!$D$46)^(S$2-1)</f>
        <v/>
      </c>
      <c r="T42" s="168">
        <f>Parametres!$D$30*(1+Parametres!$D$46)^(T$2-1)</f>
        <v/>
      </c>
      <c r="U42" s="168">
        <f>Parametres!$D$30*(1+Parametres!$D$46)^(U$2-1)</f>
        <v/>
      </c>
      <c r="V42" s="168">
        <f>Parametres!$D$30*(1+Parametres!$D$46)^(V$2-1)</f>
        <v/>
      </c>
      <c r="W42" s="168">
        <f>Parametres!$D$30*(1+Parametres!$D$46)^(W$2-1)</f>
        <v/>
      </c>
      <c r="X42" s="168">
        <f>Parametres!$D$30*(1+Parametres!$D$46)^(X$2-1)</f>
        <v/>
      </c>
      <c r="Y42" s="168">
        <f>Parametres!$D$30*(1+Parametres!$D$46)^(Y$2-1)</f>
        <v/>
      </c>
      <c r="Z42" s="168">
        <f>Parametres!$D$30*(1+Parametres!$D$46)^(Z$2-1)</f>
        <v/>
      </c>
      <c r="AA42" s="168">
        <f>Parametres!$D$30*(1+Parametres!$D$46)^(AA$2-1)</f>
        <v/>
      </c>
      <c r="AB42" s="168">
        <f>Parametres!$D$30*(1+Parametres!$D$46)^(AB$2-1)</f>
        <v/>
      </c>
      <c r="AC42" s="168">
        <f>Parametres!$D$30*(1+Parametres!$D$46)^(AC$2-1)</f>
        <v/>
      </c>
      <c r="AD42" s="168">
        <f>Parametres!$D$30*(1+Parametres!$D$46)^(AD$2-1)</f>
        <v/>
      </c>
      <c r="AE42" s="168">
        <f>Parametres!$D$30*(1+Parametres!$D$46)^(AE$2-1)</f>
        <v/>
      </c>
      <c r="AF42" s="168">
        <f>Parametres!$D$30*(1+Parametres!$D$46)^(AF$2-1)</f>
        <v/>
      </c>
      <c r="AG42" s="168">
        <f>Parametres!$D$30*(1+Parametres!$D$46)^(AG$2-1)</f>
        <v/>
      </c>
      <c r="AH42" s="168">
        <f>Parametres!$D$30*(1+Parametres!$D$46)^(AH$2-1)</f>
        <v/>
      </c>
      <c r="AI42" s="168">
        <f>Parametres!$D$30*(1+Parametres!$D$46)^(AI$2-1)</f>
        <v/>
      </c>
      <c r="AJ42" s="168">
        <f>Parametres!$D$30*(1+Parametres!$D$46)^(AJ$2-1)</f>
        <v/>
      </c>
      <c r="AK42" s="168">
        <f>Parametres!$D$30*(1+Parametres!$D$46)^(AK$2-1)</f>
        <v/>
      </c>
    </row>
    <row r="43" s="143">
      <c r="A43" s="147" t="inlineStr">
        <is>
          <t>GMV locations pro</t>
        </is>
      </c>
      <c r="B43" s="205">
        <f>B39*B42</f>
        <v/>
      </c>
      <c r="C43" s="205">
        <f>C39*C42</f>
        <v/>
      </c>
      <c r="D43" s="205">
        <f>D39*D42</f>
        <v/>
      </c>
      <c r="E43" s="205">
        <f>E39*E42</f>
        <v/>
      </c>
      <c r="F43" s="205">
        <f>F39*F42</f>
        <v/>
      </c>
      <c r="G43" s="205">
        <f>G39*G42</f>
        <v/>
      </c>
      <c r="H43" s="205">
        <f>H39*H42</f>
        <v/>
      </c>
      <c r="I43" s="205">
        <f>I39*I42</f>
        <v/>
      </c>
      <c r="J43" s="205">
        <f>J39*J42</f>
        <v/>
      </c>
      <c r="K43" s="205">
        <f>K39*K42</f>
        <v/>
      </c>
      <c r="L43" s="205">
        <f>L39*L42</f>
        <v/>
      </c>
      <c r="M43" s="205">
        <f>M39*M42</f>
        <v/>
      </c>
      <c r="N43" s="205">
        <f>N39*N42</f>
        <v/>
      </c>
      <c r="O43" s="205">
        <f>O39*O42</f>
        <v/>
      </c>
      <c r="P43" s="205">
        <f>P39*P42</f>
        <v/>
      </c>
      <c r="Q43" s="205">
        <f>Q39*Q42</f>
        <v/>
      </c>
      <c r="R43" s="205">
        <f>R39*R42</f>
        <v/>
      </c>
      <c r="S43" s="205">
        <f>S39*S42</f>
        <v/>
      </c>
      <c r="T43" s="205">
        <f>T39*T42</f>
        <v/>
      </c>
      <c r="U43" s="205">
        <f>U39*U42</f>
        <v/>
      </c>
      <c r="V43" s="205">
        <f>V39*V42</f>
        <v/>
      </c>
      <c r="W43" s="205">
        <f>W39*W42</f>
        <v/>
      </c>
      <c r="X43" s="205">
        <f>X39*X42</f>
        <v/>
      </c>
      <c r="Y43" s="205">
        <f>Y39*Y42</f>
        <v/>
      </c>
      <c r="Z43" s="205">
        <f>Z39*Z42</f>
        <v/>
      </c>
      <c r="AA43" s="205">
        <f>AA39*AA42</f>
        <v/>
      </c>
      <c r="AB43" s="205">
        <f>AB39*AB42</f>
        <v/>
      </c>
      <c r="AC43" s="205">
        <f>AC39*AC42</f>
        <v/>
      </c>
      <c r="AD43" s="205">
        <f>AD39*AD42</f>
        <v/>
      </c>
      <c r="AE43" s="205">
        <f>AE39*AE42</f>
        <v/>
      </c>
      <c r="AF43" s="205">
        <f>AF39*AF42</f>
        <v/>
      </c>
      <c r="AG43" s="205">
        <f>AG39*AG42</f>
        <v/>
      </c>
      <c r="AH43" s="205">
        <f>AH39*AH42</f>
        <v/>
      </c>
      <c r="AI43" s="205">
        <f>AI39*AI42</f>
        <v/>
      </c>
      <c r="AJ43" s="205">
        <f>AJ39*AJ42</f>
        <v/>
      </c>
      <c r="AK43" s="205">
        <f>AK39*AK42</f>
        <v/>
      </c>
    </row>
    <row r="44" s="143">
      <c r="A44" s="147" t="inlineStr">
        <is>
          <t>CA commissions locations pro</t>
        </is>
      </c>
      <c r="B44" s="206">
        <f>B43*Parametres!$D$34</f>
        <v/>
      </c>
      <c r="C44" s="206">
        <f>C43*Parametres!$D$34</f>
        <v/>
      </c>
      <c r="D44" s="206">
        <f>D43*Parametres!$D$34</f>
        <v/>
      </c>
      <c r="E44" s="206">
        <f>E43*Parametres!$D$34</f>
        <v/>
      </c>
      <c r="F44" s="206">
        <f>F43*Parametres!$D$34</f>
        <v/>
      </c>
      <c r="G44" s="206">
        <f>G43*Parametres!$D$34</f>
        <v/>
      </c>
      <c r="H44" s="206">
        <f>H43*Parametres!$D$34</f>
        <v/>
      </c>
      <c r="I44" s="206">
        <f>I43*Parametres!$D$34</f>
        <v/>
      </c>
      <c r="J44" s="206">
        <f>J43*Parametres!$D$34</f>
        <v/>
      </c>
      <c r="K44" s="206">
        <f>K43*Parametres!$D$34</f>
        <v/>
      </c>
      <c r="L44" s="206">
        <f>L43*Parametres!$D$34</f>
        <v/>
      </c>
      <c r="M44" s="206">
        <f>M43*Parametres!$D$34</f>
        <v/>
      </c>
      <c r="N44" s="206">
        <f>N43*Parametres!$D$34</f>
        <v/>
      </c>
      <c r="O44" s="206">
        <f>O43*Parametres!$D$34</f>
        <v/>
      </c>
      <c r="P44" s="206">
        <f>P43*Parametres!$D$34</f>
        <v/>
      </c>
      <c r="Q44" s="206">
        <f>Q43*Parametres!$D$34</f>
        <v/>
      </c>
      <c r="R44" s="206">
        <f>R43*Parametres!$D$34</f>
        <v/>
      </c>
      <c r="S44" s="206">
        <f>S43*Parametres!$D$34</f>
        <v/>
      </c>
      <c r="T44" s="206">
        <f>T43*Parametres!$D$34</f>
        <v/>
      </c>
      <c r="U44" s="206">
        <f>U43*Parametres!$D$34</f>
        <v/>
      </c>
      <c r="V44" s="206">
        <f>V43*Parametres!$D$34</f>
        <v/>
      </c>
      <c r="W44" s="206">
        <f>W43*Parametres!$D$34</f>
        <v/>
      </c>
      <c r="X44" s="206">
        <f>X43*Parametres!$D$34</f>
        <v/>
      </c>
      <c r="Y44" s="206">
        <f>Y43*Parametres!$D$34</f>
        <v/>
      </c>
      <c r="Z44" s="206">
        <f>Z43*Parametres!$D$34</f>
        <v/>
      </c>
      <c r="AA44" s="206">
        <f>AA43*Parametres!$D$34</f>
        <v/>
      </c>
      <c r="AB44" s="206">
        <f>AB43*Parametres!$D$34</f>
        <v/>
      </c>
      <c r="AC44" s="206">
        <f>AC43*Parametres!$D$34</f>
        <v/>
      </c>
      <c r="AD44" s="206">
        <f>AD43*Parametres!$D$34</f>
        <v/>
      </c>
      <c r="AE44" s="206">
        <f>AE43*Parametres!$D$34</f>
        <v/>
      </c>
      <c r="AF44" s="206">
        <f>AF43*Parametres!$D$34</f>
        <v/>
      </c>
      <c r="AG44" s="206">
        <f>AG43*Parametres!$D$34</f>
        <v/>
      </c>
      <c r="AH44" s="206">
        <f>AH43*Parametres!$D$34</f>
        <v/>
      </c>
      <c r="AI44" s="206">
        <f>AI43*Parametres!$D$34</f>
        <v/>
      </c>
      <c r="AJ44" s="206">
        <f>AJ43*Parametres!$D$34</f>
        <v/>
      </c>
      <c r="AK44" s="206">
        <f>AK43*Parametres!$D$34</f>
        <v/>
      </c>
    </row>
    <row r="45" s="143">
      <c r="A45" s="149" t="n"/>
      <c r="B45" s="149" t="n"/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149" t="n"/>
      <c r="O45" s="149" t="n"/>
      <c r="P45" s="149" t="n"/>
      <c r="Q45" s="149" t="n"/>
      <c r="R45" s="149" t="n"/>
      <c r="S45" s="149" t="n"/>
      <c r="T45" s="149" t="n"/>
      <c r="U45" s="149" t="n"/>
      <c r="V45" s="149" t="n"/>
      <c r="W45" s="149" t="n"/>
      <c r="X45" s="149" t="n"/>
      <c r="Y45" s="149" t="n"/>
      <c r="Z45" s="149" t="n"/>
      <c r="AA45" s="149" t="n"/>
      <c r="AB45" s="149" t="n"/>
      <c r="AC45" s="149" t="n"/>
      <c r="AD45" s="149" t="n"/>
      <c r="AE45" s="149" t="n"/>
      <c r="AF45" s="149" t="n"/>
      <c r="AG45" s="149" t="n"/>
      <c r="AH45" s="149" t="n"/>
      <c r="AI45" s="149" t="n"/>
      <c r="AJ45" s="149" t="n"/>
      <c r="AK45" s="149" t="n"/>
    </row>
    <row r="46" ht="18" customHeight="1" s="143">
      <c r="A46" s="150" t="inlineStr">
        <is>
          <t>OFFRE &amp; DEMANDE — LOCATIONS PARTICULIERS Ampindramo C2C (annonces, capacité, 13 %)</t>
        </is>
      </c>
      <c r="B46" s="150" t="n"/>
      <c r="C46" s="150" t="n"/>
      <c r="D46" s="150" t="n"/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0" t="n"/>
      <c r="N46" s="150" t="n"/>
      <c r="O46" s="150" t="n"/>
      <c r="P46" s="150" t="n"/>
      <c r="Q46" s="150" t="n"/>
      <c r="R46" s="150" t="n"/>
      <c r="S46" s="150" t="n"/>
      <c r="T46" s="150" t="n"/>
      <c r="U46" s="150" t="n"/>
      <c r="V46" s="150" t="n"/>
      <c r="W46" s="150" t="n"/>
      <c r="X46" s="150" t="n"/>
      <c r="Y46" s="150" t="n"/>
      <c r="Z46" s="150" t="n"/>
      <c r="AA46" s="150" t="n"/>
      <c r="AB46" s="150" t="n"/>
      <c r="AC46" s="150" t="n"/>
      <c r="AD46" s="150" t="n"/>
      <c r="AE46" s="150" t="n"/>
      <c r="AF46" s="150" t="n"/>
      <c r="AG46" s="150" t="n"/>
      <c r="AH46" s="150" t="n"/>
      <c r="AI46" s="150" t="n"/>
      <c r="AJ46" s="150" t="n"/>
      <c r="AK46" s="150" t="n"/>
    </row>
    <row r="47" s="143">
      <c r="A47" s="149" t="inlineStr">
        <is>
          <t>Nouvelles annonces C2C publiées (M1 = stock initial)</t>
        </is>
      </c>
      <c r="B47" s="155">
        <f>Parametres!$D$91*(1-IF(Parametres!$B$158=1,Parametres!$B$159,0))</f>
        <v/>
      </c>
      <c r="C47" s="155">
        <f>Parametres!$D$92</f>
        <v/>
      </c>
      <c r="D47" s="155">
        <f>Parametres!$D$92</f>
        <v/>
      </c>
      <c r="E47" s="155">
        <f>Parametres!$D$92</f>
        <v/>
      </c>
      <c r="F47" s="155">
        <f>Parametres!$D$92</f>
        <v/>
      </c>
      <c r="G47" s="155">
        <f>Parametres!$D$92</f>
        <v/>
      </c>
      <c r="H47" s="155">
        <f>Parametres!$D$92</f>
        <v/>
      </c>
      <c r="I47" s="155">
        <f>Parametres!$D$92</f>
        <v/>
      </c>
      <c r="J47" s="155">
        <f>Parametres!$D$92</f>
        <v/>
      </c>
      <c r="K47" s="155">
        <f>Parametres!$D$92</f>
        <v/>
      </c>
      <c r="L47" s="155">
        <f>Parametres!$D$92</f>
        <v/>
      </c>
      <c r="M47" s="155">
        <f>Parametres!$D$92</f>
        <v/>
      </c>
      <c r="N47" s="155">
        <f>Parametres!$D$92</f>
        <v/>
      </c>
      <c r="O47" s="155">
        <f>Parametres!$D$92</f>
        <v/>
      </c>
      <c r="P47" s="155">
        <f>Parametres!$D$92</f>
        <v/>
      </c>
      <c r="Q47" s="155">
        <f>Parametres!$D$92</f>
        <v/>
      </c>
      <c r="R47" s="155">
        <f>Parametres!$D$92</f>
        <v/>
      </c>
      <c r="S47" s="155">
        <f>Parametres!$D$92</f>
        <v/>
      </c>
      <c r="T47" s="155">
        <f>Parametres!$D$92</f>
        <v/>
      </c>
      <c r="U47" s="155">
        <f>Parametres!$D$92</f>
        <v/>
      </c>
      <c r="V47" s="155">
        <f>Parametres!$D$92</f>
        <v/>
      </c>
      <c r="W47" s="155">
        <f>Parametres!$D$92</f>
        <v/>
      </c>
      <c r="X47" s="155">
        <f>Parametres!$D$92</f>
        <v/>
      </c>
      <c r="Y47" s="155">
        <f>Parametres!$D$92</f>
        <v/>
      </c>
      <c r="Z47" s="155">
        <f>Parametres!$D$92</f>
        <v/>
      </c>
      <c r="AA47" s="155">
        <f>Parametres!$D$92</f>
        <v/>
      </c>
      <c r="AB47" s="155">
        <f>Parametres!$D$92</f>
        <v/>
      </c>
      <c r="AC47" s="155">
        <f>Parametres!$D$92</f>
        <v/>
      </c>
      <c r="AD47" s="155">
        <f>Parametres!$D$92</f>
        <v/>
      </c>
      <c r="AE47" s="155">
        <f>Parametres!$D$92</f>
        <v/>
      </c>
      <c r="AF47" s="155">
        <f>Parametres!$D$92</f>
        <v/>
      </c>
      <c r="AG47" s="155">
        <f>Parametres!$D$92</f>
        <v/>
      </c>
      <c r="AH47" s="155">
        <f>Parametres!$D$92</f>
        <v/>
      </c>
      <c r="AI47" s="155">
        <f>Parametres!$D$92</f>
        <v/>
      </c>
      <c r="AJ47" s="155">
        <f>Parametres!$D$92</f>
        <v/>
      </c>
      <c r="AK47" s="155">
        <f>Parametres!$D$92</f>
        <v/>
      </c>
    </row>
    <row r="48" s="143">
      <c r="A48" s="149" t="inlineStr">
        <is>
          <t>Annonces C2C retirées (churn)</t>
        </is>
      </c>
      <c r="B48" s="202">
        <f>0</f>
        <v/>
      </c>
      <c r="C48" s="155">
        <f>B49*Parametres!$D$93</f>
        <v/>
      </c>
      <c r="D48" s="155">
        <f>C49*Parametres!$D$93</f>
        <v/>
      </c>
      <c r="E48" s="155">
        <f>D49*Parametres!$D$93</f>
        <v/>
      </c>
      <c r="F48" s="155">
        <f>E49*Parametres!$D$93</f>
        <v/>
      </c>
      <c r="G48" s="155">
        <f>F49*Parametres!$D$93</f>
        <v/>
      </c>
      <c r="H48" s="155">
        <f>G49*Parametres!$D$93</f>
        <v/>
      </c>
      <c r="I48" s="155">
        <f>H49*Parametres!$D$93</f>
        <v/>
      </c>
      <c r="J48" s="155">
        <f>I49*Parametres!$D$93</f>
        <v/>
      </c>
      <c r="K48" s="155">
        <f>J49*Parametres!$D$93</f>
        <v/>
      </c>
      <c r="L48" s="155">
        <f>K49*Parametres!$D$93</f>
        <v/>
      </c>
      <c r="M48" s="155">
        <f>L49*Parametres!$D$93</f>
        <v/>
      </c>
      <c r="N48" s="155">
        <f>M49*Parametres!$D$93</f>
        <v/>
      </c>
      <c r="O48" s="155">
        <f>N49*Parametres!$D$93</f>
        <v/>
      </c>
      <c r="P48" s="155">
        <f>O49*Parametres!$D$93</f>
        <v/>
      </c>
      <c r="Q48" s="155">
        <f>P49*Parametres!$D$93</f>
        <v/>
      </c>
      <c r="R48" s="155">
        <f>Q49*Parametres!$D$93</f>
        <v/>
      </c>
      <c r="S48" s="155">
        <f>R49*Parametres!$D$93</f>
        <v/>
      </c>
      <c r="T48" s="155">
        <f>S49*Parametres!$D$93</f>
        <v/>
      </c>
      <c r="U48" s="155">
        <f>T49*Parametres!$D$93</f>
        <v/>
      </c>
      <c r="V48" s="155">
        <f>U49*Parametres!$D$93</f>
        <v/>
      </c>
      <c r="W48" s="155">
        <f>V49*Parametres!$D$93</f>
        <v/>
      </c>
      <c r="X48" s="155">
        <f>W49*Parametres!$D$93</f>
        <v/>
      </c>
      <c r="Y48" s="155">
        <f>X49*Parametres!$D$93</f>
        <v/>
      </c>
      <c r="Z48" s="155">
        <f>Y49*Parametres!$D$93</f>
        <v/>
      </c>
      <c r="AA48" s="155">
        <f>Z49*Parametres!$D$93</f>
        <v/>
      </c>
      <c r="AB48" s="155">
        <f>AA49*Parametres!$D$93</f>
        <v/>
      </c>
      <c r="AC48" s="155">
        <f>AB49*Parametres!$D$93</f>
        <v/>
      </c>
      <c r="AD48" s="155">
        <f>AC49*Parametres!$D$93</f>
        <v/>
      </c>
      <c r="AE48" s="155">
        <f>AD49*Parametres!$D$93</f>
        <v/>
      </c>
      <c r="AF48" s="155">
        <f>AE49*Parametres!$D$93</f>
        <v/>
      </c>
      <c r="AG48" s="155">
        <f>AF49*Parametres!$D$93</f>
        <v/>
      </c>
      <c r="AH48" s="155">
        <f>AG49*Parametres!$D$93</f>
        <v/>
      </c>
      <c r="AI48" s="155">
        <f>AH49*Parametres!$D$93</f>
        <v/>
      </c>
      <c r="AJ48" s="155">
        <f>AI49*Parametres!$D$93</f>
        <v/>
      </c>
      <c r="AK48" s="155">
        <f>AJ49*Parametres!$D$93</f>
        <v/>
      </c>
    </row>
    <row r="49" s="143">
      <c r="A49" s="147" t="inlineStr">
        <is>
          <t>Annonces C2C actives (stock × (1 − churn) + nouveaux)</t>
        </is>
      </c>
      <c r="B49" s="203">
        <f>B47</f>
        <v/>
      </c>
      <c r="C49" s="204">
        <f>B49*(1-Parametres!$D$93)+C47</f>
        <v/>
      </c>
      <c r="D49" s="204">
        <f>C49*(1-Parametres!$D$93)+D47</f>
        <v/>
      </c>
      <c r="E49" s="204">
        <f>D49*(1-Parametres!$D$93)+E47</f>
        <v/>
      </c>
      <c r="F49" s="204">
        <f>E49*(1-Parametres!$D$93)+F47</f>
        <v/>
      </c>
      <c r="G49" s="204">
        <f>F49*(1-Parametres!$D$93)+G47</f>
        <v/>
      </c>
      <c r="H49" s="204">
        <f>G49*(1-Parametres!$D$93)+H47</f>
        <v/>
      </c>
      <c r="I49" s="204">
        <f>H49*(1-Parametres!$D$93)+I47</f>
        <v/>
      </c>
      <c r="J49" s="204">
        <f>I49*(1-Parametres!$D$93)+J47</f>
        <v/>
      </c>
      <c r="K49" s="204">
        <f>J49*(1-Parametres!$D$93)+K47</f>
        <v/>
      </c>
      <c r="L49" s="204">
        <f>K49*(1-Parametres!$D$93)+L47</f>
        <v/>
      </c>
      <c r="M49" s="204">
        <f>L49*(1-Parametres!$D$93)+M47</f>
        <v/>
      </c>
      <c r="N49" s="204">
        <f>M49*(1-Parametres!$D$93)+N47</f>
        <v/>
      </c>
      <c r="O49" s="204">
        <f>N49*(1-Parametres!$D$93)+O47</f>
        <v/>
      </c>
      <c r="P49" s="204">
        <f>O49*(1-Parametres!$D$93)+P47</f>
        <v/>
      </c>
      <c r="Q49" s="204">
        <f>P49*(1-Parametres!$D$93)+Q47</f>
        <v/>
      </c>
      <c r="R49" s="204">
        <f>Q49*(1-Parametres!$D$93)+R47</f>
        <v/>
      </c>
      <c r="S49" s="204">
        <f>R49*(1-Parametres!$D$93)+S47</f>
        <v/>
      </c>
      <c r="T49" s="204">
        <f>S49*(1-Parametres!$D$93)+T47</f>
        <v/>
      </c>
      <c r="U49" s="204">
        <f>T49*(1-Parametres!$D$93)+U47</f>
        <v/>
      </c>
      <c r="V49" s="204">
        <f>U49*(1-Parametres!$D$93)+V47</f>
        <v/>
      </c>
      <c r="W49" s="204">
        <f>V49*(1-Parametres!$D$93)+W47</f>
        <v/>
      </c>
      <c r="X49" s="204">
        <f>W49*(1-Parametres!$D$93)+X47</f>
        <v/>
      </c>
      <c r="Y49" s="204">
        <f>X49*(1-Parametres!$D$93)+Y47</f>
        <v/>
      </c>
      <c r="Z49" s="204">
        <f>Y49*(1-Parametres!$D$93)+Z47</f>
        <v/>
      </c>
      <c r="AA49" s="204">
        <f>Z49*(1-Parametres!$D$93)+AA47</f>
        <v/>
      </c>
      <c r="AB49" s="204">
        <f>AA49*(1-Parametres!$D$93)+AB47</f>
        <v/>
      </c>
      <c r="AC49" s="204">
        <f>AB49*(1-Parametres!$D$93)+AC47</f>
        <v/>
      </c>
      <c r="AD49" s="204">
        <f>AC49*(1-Parametres!$D$93)+AD47</f>
        <v/>
      </c>
      <c r="AE49" s="204">
        <f>AD49*(1-Parametres!$D$93)+AE47</f>
        <v/>
      </c>
      <c r="AF49" s="204">
        <f>AE49*(1-Parametres!$D$93)+AF47</f>
        <v/>
      </c>
      <c r="AG49" s="204">
        <f>AF49*(1-Parametres!$D$93)+AG47</f>
        <v/>
      </c>
      <c r="AH49" s="204">
        <f>AG49*(1-Parametres!$D$93)+AH47</f>
        <v/>
      </c>
      <c r="AI49" s="204">
        <f>AH49*(1-Parametres!$D$93)+AI47</f>
        <v/>
      </c>
      <c r="AJ49" s="204">
        <f>AI49*(1-Parametres!$D$93)+AJ47</f>
        <v/>
      </c>
      <c r="AK49" s="204">
        <f>AJ49*(1-Parametres!$D$93)+AK47</f>
        <v/>
      </c>
    </row>
    <row r="50" s="143">
      <c r="A50" s="149" t="inlineStr">
        <is>
          <t>Capacité mensuelle (actifs × max par mois × fill rate max)</t>
        </is>
      </c>
      <c r="B50" s="155">
        <f>B49*Parametres!$D$94*Parametres!$D$95</f>
        <v/>
      </c>
      <c r="C50" s="155">
        <f>C49*Parametres!$D$94*Parametres!$D$95</f>
        <v/>
      </c>
      <c r="D50" s="155">
        <f>D49*Parametres!$D$94*Parametres!$D$95</f>
        <v/>
      </c>
      <c r="E50" s="155">
        <f>E49*Parametres!$D$94*Parametres!$D$95</f>
        <v/>
      </c>
      <c r="F50" s="155">
        <f>F49*Parametres!$D$94*Parametres!$D$95</f>
        <v/>
      </c>
      <c r="G50" s="155">
        <f>G49*Parametres!$D$94*Parametres!$D$95</f>
        <v/>
      </c>
      <c r="H50" s="155">
        <f>H49*Parametres!$D$94*Parametres!$D$95</f>
        <v/>
      </c>
      <c r="I50" s="155">
        <f>I49*Parametres!$D$94*Parametres!$D$95</f>
        <v/>
      </c>
      <c r="J50" s="155">
        <f>J49*Parametres!$D$94*Parametres!$D$95</f>
        <v/>
      </c>
      <c r="K50" s="155">
        <f>K49*Parametres!$D$94*Parametres!$D$95</f>
        <v/>
      </c>
      <c r="L50" s="155">
        <f>L49*Parametres!$D$94*Parametres!$D$95</f>
        <v/>
      </c>
      <c r="M50" s="155">
        <f>M49*Parametres!$D$94*Parametres!$D$95</f>
        <v/>
      </c>
      <c r="N50" s="155">
        <f>N49*Parametres!$D$94*Parametres!$D$95</f>
        <v/>
      </c>
      <c r="O50" s="155">
        <f>O49*Parametres!$D$94*Parametres!$D$95</f>
        <v/>
      </c>
      <c r="P50" s="155">
        <f>P49*Parametres!$D$94*Parametres!$D$95</f>
        <v/>
      </c>
      <c r="Q50" s="155">
        <f>Q49*Parametres!$D$94*Parametres!$D$95</f>
        <v/>
      </c>
      <c r="R50" s="155">
        <f>R49*Parametres!$D$94*Parametres!$D$95</f>
        <v/>
      </c>
      <c r="S50" s="155">
        <f>S49*Parametres!$D$94*Parametres!$D$95</f>
        <v/>
      </c>
      <c r="T50" s="155">
        <f>T49*Parametres!$D$94*Parametres!$D$95</f>
        <v/>
      </c>
      <c r="U50" s="155">
        <f>U49*Parametres!$D$94*Parametres!$D$95</f>
        <v/>
      </c>
      <c r="V50" s="155">
        <f>V49*Parametres!$D$94*Parametres!$D$95</f>
        <v/>
      </c>
      <c r="W50" s="155">
        <f>W49*Parametres!$D$94*Parametres!$D$95</f>
        <v/>
      </c>
      <c r="X50" s="155">
        <f>X49*Parametres!$D$94*Parametres!$D$95</f>
        <v/>
      </c>
      <c r="Y50" s="155">
        <f>Y49*Parametres!$D$94*Parametres!$D$95</f>
        <v/>
      </c>
      <c r="Z50" s="155">
        <f>Z49*Parametres!$D$94*Parametres!$D$95</f>
        <v/>
      </c>
      <c r="AA50" s="155">
        <f>AA49*Parametres!$D$94*Parametres!$D$95</f>
        <v/>
      </c>
      <c r="AB50" s="155">
        <f>AB49*Parametres!$D$94*Parametres!$D$95</f>
        <v/>
      </c>
      <c r="AC50" s="155">
        <f>AC49*Parametres!$D$94*Parametres!$D$95</f>
        <v/>
      </c>
      <c r="AD50" s="155">
        <f>AD49*Parametres!$D$94*Parametres!$D$95</f>
        <v/>
      </c>
      <c r="AE50" s="155">
        <f>AE49*Parametres!$D$94*Parametres!$D$95</f>
        <v/>
      </c>
      <c r="AF50" s="155">
        <f>AF49*Parametres!$D$94*Parametres!$D$95</f>
        <v/>
      </c>
      <c r="AG50" s="155">
        <f>AG49*Parametres!$D$94*Parametres!$D$95</f>
        <v/>
      </c>
      <c r="AH50" s="155">
        <f>AH49*Parametres!$D$94*Parametres!$D$95</f>
        <v/>
      </c>
      <c r="AI50" s="155">
        <f>AI49*Parametres!$D$94*Parametres!$D$95</f>
        <v/>
      </c>
      <c r="AJ50" s="155">
        <f>AJ49*Parametres!$D$94*Parametres!$D$95</f>
        <v/>
      </c>
      <c r="AK50" s="155">
        <f>AK49*Parametres!$D$94*Parametres!$D$95</f>
        <v/>
      </c>
    </row>
    <row r="51" s="143">
      <c r="A51" s="149" t="inlineStr">
        <is>
          <t>Demande (locations C2C) — croissance section 7 × multiplicateur acquisition</t>
        </is>
      </c>
      <c r="B51" s="155">
        <f>Parametres!$D$39*(1-IF(Parametres!$B$158=1,Parametres!$B$159,0))</f>
        <v/>
      </c>
      <c r="C51" s="155">
        <f>B51*(1+IF(C8=1,0,CHOOSE(C$2,Parametres!$F$54,Parametres!$G$54,Parametres!$H$54)*C7))</f>
        <v/>
      </c>
      <c r="D51" s="155">
        <f>C51*(1+IF(D8=1,0,CHOOSE(D$2,Parametres!$F$54,Parametres!$G$54,Parametres!$H$54)*D7))</f>
        <v/>
      </c>
      <c r="E51" s="155">
        <f>D51*(1+IF(E8=1,0,CHOOSE(E$2,Parametres!$F$54,Parametres!$G$54,Parametres!$H$54)*E7))</f>
        <v/>
      </c>
      <c r="F51" s="155">
        <f>E51*(1+IF(F8=1,0,CHOOSE(F$2,Parametres!$F$54,Parametres!$G$54,Parametres!$H$54)*F7))</f>
        <v/>
      </c>
      <c r="G51" s="155">
        <f>F51*(1+IF(G8=1,0,CHOOSE(G$2,Parametres!$F$54,Parametres!$G$54,Parametres!$H$54)*G7))</f>
        <v/>
      </c>
      <c r="H51" s="155">
        <f>G51*(1+IF(H8=1,0,CHOOSE(H$2,Parametres!$F$54,Parametres!$G$54,Parametres!$H$54)*H7))</f>
        <v/>
      </c>
      <c r="I51" s="155">
        <f>H51*(1+IF(I8=1,0,CHOOSE(I$2,Parametres!$F$54,Parametres!$G$54,Parametres!$H$54)*I7))</f>
        <v/>
      </c>
      <c r="J51" s="155">
        <f>I51*(1+IF(J8=1,0,CHOOSE(J$2,Parametres!$F$54,Parametres!$G$54,Parametres!$H$54)*J7))</f>
        <v/>
      </c>
      <c r="K51" s="155">
        <f>J51*(1+IF(K8=1,0,CHOOSE(K$2,Parametres!$F$54,Parametres!$G$54,Parametres!$H$54)*K7))</f>
        <v/>
      </c>
      <c r="L51" s="155">
        <f>K51*(1+IF(L8=1,0,CHOOSE(L$2,Parametres!$F$54,Parametres!$G$54,Parametres!$H$54)*L7))</f>
        <v/>
      </c>
      <c r="M51" s="155">
        <f>L51*(1+IF(M8=1,0,CHOOSE(M$2,Parametres!$F$54,Parametres!$G$54,Parametres!$H$54)*M7))</f>
        <v/>
      </c>
      <c r="N51" s="155">
        <f>M51*(1+IF(N8=1,0,CHOOSE(N$2,Parametres!$F$54,Parametres!$G$54,Parametres!$H$54)*N7))</f>
        <v/>
      </c>
      <c r="O51" s="155">
        <f>N51*(1+IF(O8=1,0,CHOOSE(O$2,Parametres!$F$54,Parametres!$G$54,Parametres!$H$54)*O7))</f>
        <v/>
      </c>
      <c r="P51" s="155">
        <f>O51*(1+IF(P8=1,0,CHOOSE(P$2,Parametres!$F$54,Parametres!$G$54,Parametres!$H$54)*P7))</f>
        <v/>
      </c>
      <c r="Q51" s="155">
        <f>P51*(1+IF(Q8=1,0,CHOOSE(Q$2,Parametres!$F$54,Parametres!$G$54,Parametres!$H$54)*Q7))</f>
        <v/>
      </c>
      <c r="R51" s="155">
        <f>Q51*(1+IF(R8=1,0,CHOOSE(R$2,Parametres!$F$54,Parametres!$G$54,Parametres!$H$54)*R7))</f>
        <v/>
      </c>
      <c r="S51" s="155">
        <f>R51*(1+IF(S8=1,0,CHOOSE(S$2,Parametres!$F$54,Parametres!$G$54,Parametres!$H$54)*S7))</f>
        <v/>
      </c>
      <c r="T51" s="155">
        <f>S51*(1+IF(T8=1,0,CHOOSE(T$2,Parametres!$F$54,Parametres!$G$54,Parametres!$H$54)*T7))</f>
        <v/>
      </c>
      <c r="U51" s="155">
        <f>T51*(1+IF(U8=1,0,CHOOSE(U$2,Parametres!$F$54,Parametres!$G$54,Parametres!$H$54)*U7))</f>
        <v/>
      </c>
      <c r="V51" s="155">
        <f>U51*(1+IF(V8=1,0,CHOOSE(V$2,Parametres!$F$54,Parametres!$G$54,Parametres!$H$54)*V7))</f>
        <v/>
      </c>
      <c r="W51" s="155">
        <f>V51*(1+IF(W8=1,0,CHOOSE(W$2,Parametres!$F$54,Parametres!$G$54,Parametres!$H$54)*W7))</f>
        <v/>
      </c>
      <c r="X51" s="155">
        <f>W51*(1+IF(X8=1,0,CHOOSE(X$2,Parametres!$F$54,Parametres!$G$54,Parametres!$H$54)*X7))</f>
        <v/>
      </c>
      <c r="Y51" s="155">
        <f>X51*(1+IF(Y8=1,0,CHOOSE(Y$2,Parametres!$F$54,Parametres!$G$54,Parametres!$H$54)*Y7))</f>
        <v/>
      </c>
      <c r="Z51" s="155">
        <f>Y51*(1+IF(Z8=1,0,CHOOSE(Z$2,Parametres!$F$54,Parametres!$G$54,Parametres!$H$54)*Z7))</f>
        <v/>
      </c>
      <c r="AA51" s="155">
        <f>Z51*(1+IF(AA8=1,0,CHOOSE(AA$2,Parametres!$F$54,Parametres!$G$54,Parametres!$H$54)*AA7))</f>
        <v/>
      </c>
      <c r="AB51" s="155">
        <f>AA51*(1+IF(AB8=1,0,CHOOSE(AB$2,Parametres!$F$54,Parametres!$G$54,Parametres!$H$54)*AB7))</f>
        <v/>
      </c>
      <c r="AC51" s="155">
        <f>AB51*(1+IF(AC8=1,0,CHOOSE(AC$2,Parametres!$F$54,Parametres!$G$54,Parametres!$H$54)*AC7))</f>
        <v/>
      </c>
      <c r="AD51" s="155">
        <f>AC51*(1+IF(AD8=1,0,CHOOSE(AD$2,Parametres!$F$54,Parametres!$G$54,Parametres!$H$54)*AD7))</f>
        <v/>
      </c>
      <c r="AE51" s="155">
        <f>AD51*(1+IF(AE8=1,0,CHOOSE(AE$2,Parametres!$F$54,Parametres!$G$54,Parametres!$H$54)*AE7))</f>
        <v/>
      </c>
      <c r="AF51" s="155">
        <f>AE51*(1+IF(AF8=1,0,CHOOSE(AF$2,Parametres!$F$54,Parametres!$G$54,Parametres!$H$54)*AF7))</f>
        <v/>
      </c>
      <c r="AG51" s="155">
        <f>AF51*(1+IF(AG8=1,0,CHOOSE(AG$2,Parametres!$F$54,Parametres!$G$54,Parametres!$H$54)*AG7))</f>
        <v/>
      </c>
      <c r="AH51" s="155">
        <f>AG51*(1+IF(AH8=1,0,CHOOSE(AH$2,Parametres!$F$54,Parametres!$G$54,Parametres!$H$54)*AH7))</f>
        <v/>
      </c>
      <c r="AI51" s="155">
        <f>AH51*(1+IF(AI8=1,0,CHOOSE(AI$2,Parametres!$F$54,Parametres!$G$54,Parametres!$H$54)*AI7))</f>
        <v/>
      </c>
      <c r="AJ51" s="155">
        <f>AI51*(1+IF(AJ8=1,0,CHOOSE(AJ$2,Parametres!$F$54,Parametres!$G$54,Parametres!$H$54)*AJ7))</f>
        <v/>
      </c>
      <c r="AK51" s="155">
        <f>AJ51*(1+IF(AK8=1,0,CHOOSE(AK$2,Parametres!$F$54,Parametres!$G$54,Parametres!$H$54)*AK7))</f>
        <v/>
      </c>
    </row>
    <row r="52" s="143">
      <c r="A52" s="147" t="inlineStr">
        <is>
          <t>Locations C2C réalisées = MIN(demande, capacité)</t>
        </is>
      </c>
      <c r="B52" s="203">
        <f>MIN(B51,B50)</f>
        <v/>
      </c>
      <c r="C52" s="203">
        <f>MIN(C51,C50)</f>
        <v/>
      </c>
      <c r="D52" s="203">
        <f>MIN(D51,D50)</f>
        <v/>
      </c>
      <c r="E52" s="203">
        <f>MIN(E51,E50)</f>
        <v/>
      </c>
      <c r="F52" s="203">
        <f>MIN(F51,F50)</f>
        <v/>
      </c>
      <c r="G52" s="203">
        <f>MIN(G51,G50)</f>
        <v/>
      </c>
      <c r="H52" s="203">
        <f>MIN(H51,H50)</f>
        <v/>
      </c>
      <c r="I52" s="203">
        <f>MIN(I51,I50)</f>
        <v/>
      </c>
      <c r="J52" s="203">
        <f>MIN(J51,J50)</f>
        <v/>
      </c>
      <c r="K52" s="203">
        <f>MIN(K51,K50)</f>
        <v/>
      </c>
      <c r="L52" s="203">
        <f>MIN(L51,L50)</f>
        <v/>
      </c>
      <c r="M52" s="203">
        <f>MIN(M51,M50)</f>
        <v/>
      </c>
      <c r="N52" s="203">
        <f>MIN(N51,N50)</f>
        <v/>
      </c>
      <c r="O52" s="203">
        <f>MIN(O51,O50)</f>
        <v/>
      </c>
      <c r="P52" s="203">
        <f>MIN(P51,P50)</f>
        <v/>
      </c>
      <c r="Q52" s="203">
        <f>MIN(Q51,Q50)</f>
        <v/>
      </c>
      <c r="R52" s="203">
        <f>MIN(R51,R50)</f>
        <v/>
      </c>
      <c r="S52" s="203">
        <f>MIN(S51,S50)</f>
        <v/>
      </c>
      <c r="T52" s="203">
        <f>MIN(T51,T50)</f>
        <v/>
      </c>
      <c r="U52" s="203">
        <f>MIN(U51,U50)</f>
        <v/>
      </c>
      <c r="V52" s="203">
        <f>MIN(V51,V50)</f>
        <v/>
      </c>
      <c r="W52" s="203">
        <f>MIN(W51,W50)</f>
        <v/>
      </c>
      <c r="X52" s="203">
        <f>MIN(X51,X50)</f>
        <v/>
      </c>
      <c r="Y52" s="203">
        <f>MIN(Y51,Y50)</f>
        <v/>
      </c>
      <c r="Z52" s="203">
        <f>MIN(Z51,Z50)</f>
        <v/>
      </c>
      <c r="AA52" s="203">
        <f>MIN(AA51,AA50)</f>
        <v/>
      </c>
      <c r="AB52" s="203">
        <f>MIN(AB51,AB50)</f>
        <v/>
      </c>
      <c r="AC52" s="203">
        <f>MIN(AC51,AC50)</f>
        <v/>
      </c>
      <c r="AD52" s="203">
        <f>MIN(AD51,AD50)</f>
        <v/>
      </c>
      <c r="AE52" s="203">
        <f>MIN(AE51,AE50)</f>
        <v/>
      </c>
      <c r="AF52" s="203">
        <f>MIN(AF51,AF50)</f>
        <v/>
      </c>
      <c r="AG52" s="203">
        <f>MIN(AG51,AG50)</f>
        <v/>
      </c>
      <c r="AH52" s="203">
        <f>MIN(AH51,AH50)</f>
        <v/>
      </c>
      <c r="AI52" s="203">
        <f>MIN(AI51,AI50)</f>
        <v/>
      </c>
      <c r="AJ52" s="203">
        <f>MIN(AJ51,AJ50)</f>
        <v/>
      </c>
      <c r="AK52" s="203">
        <f>MIN(AK51,AK50)</f>
        <v/>
      </c>
    </row>
    <row r="53" s="143">
      <c r="A53" s="149" t="inlineStr">
        <is>
          <t>Demande non servie (pénurie d'offre)</t>
        </is>
      </c>
      <c r="B53" s="202">
        <f>B51-B52</f>
        <v/>
      </c>
      <c r="C53" s="202">
        <f>C51-C52</f>
        <v/>
      </c>
      <c r="D53" s="202">
        <f>D51-D52</f>
        <v/>
      </c>
      <c r="E53" s="202">
        <f>E51-E52</f>
        <v/>
      </c>
      <c r="F53" s="202">
        <f>F51-F52</f>
        <v/>
      </c>
      <c r="G53" s="202">
        <f>G51-G52</f>
        <v/>
      </c>
      <c r="H53" s="202">
        <f>H51-H52</f>
        <v/>
      </c>
      <c r="I53" s="202">
        <f>I51-I52</f>
        <v/>
      </c>
      <c r="J53" s="202">
        <f>J51-J52</f>
        <v/>
      </c>
      <c r="K53" s="202">
        <f>K51-K52</f>
        <v/>
      </c>
      <c r="L53" s="202">
        <f>L51-L52</f>
        <v/>
      </c>
      <c r="M53" s="202">
        <f>M51-M52</f>
        <v/>
      </c>
      <c r="N53" s="202">
        <f>N51-N52</f>
        <v/>
      </c>
      <c r="O53" s="202">
        <f>O51-O52</f>
        <v/>
      </c>
      <c r="P53" s="202">
        <f>P51-P52</f>
        <v/>
      </c>
      <c r="Q53" s="202">
        <f>Q51-Q52</f>
        <v/>
      </c>
      <c r="R53" s="202">
        <f>R51-R52</f>
        <v/>
      </c>
      <c r="S53" s="202">
        <f>S51-S52</f>
        <v/>
      </c>
      <c r="T53" s="202">
        <f>T51-T52</f>
        <v/>
      </c>
      <c r="U53" s="202">
        <f>U51-U52</f>
        <v/>
      </c>
      <c r="V53" s="202">
        <f>V51-V52</f>
        <v/>
      </c>
      <c r="W53" s="202">
        <f>W51-W52</f>
        <v/>
      </c>
      <c r="X53" s="202">
        <f>X51-X52</f>
        <v/>
      </c>
      <c r="Y53" s="202">
        <f>Y51-Y52</f>
        <v/>
      </c>
      <c r="Z53" s="202">
        <f>Z51-Z52</f>
        <v/>
      </c>
      <c r="AA53" s="202">
        <f>AA51-AA52</f>
        <v/>
      </c>
      <c r="AB53" s="202">
        <f>AB51-AB52</f>
        <v/>
      </c>
      <c r="AC53" s="202">
        <f>AC51-AC52</f>
        <v/>
      </c>
      <c r="AD53" s="202">
        <f>AD51-AD52</f>
        <v/>
      </c>
      <c r="AE53" s="202">
        <f>AE51-AE52</f>
        <v/>
      </c>
      <c r="AF53" s="202">
        <f>AF51-AF52</f>
        <v/>
      </c>
      <c r="AG53" s="202">
        <f>AG51-AG52</f>
        <v/>
      </c>
      <c r="AH53" s="202">
        <f>AH51-AH52</f>
        <v/>
      </c>
      <c r="AI53" s="202">
        <f>AI51-AI52</f>
        <v/>
      </c>
      <c r="AJ53" s="202">
        <f>AJ51-AJ52</f>
        <v/>
      </c>
      <c r="AK53" s="202">
        <f>AK51-AK52</f>
        <v/>
      </c>
    </row>
    <row r="54" s="143">
      <c r="A54" s="149" t="inlineStr">
        <is>
          <t>Taux d'utilisation de la capacité brute (réalisées / (actifs × max))</t>
        </is>
      </c>
      <c r="B54" s="152">
        <f>IF(B49*Parametres!$D$94=0,0,B52/(B49*Parametres!$D$94))</f>
        <v/>
      </c>
      <c r="C54" s="152">
        <f>IF(C49*Parametres!$D$94=0,0,C52/(C49*Parametres!$D$94))</f>
        <v/>
      </c>
      <c r="D54" s="152">
        <f>IF(D49*Parametres!$D$94=0,0,D52/(D49*Parametres!$D$94))</f>
        <v/>
      </c>
      <c r="E54" s="152">
        <f>IF(E49*Parametres!$D$94=0,0,E52/(E49*Parametres!$D$94))</f>
        <v/>
      </c>
      <c r="F54" s="152">
        <f>IF(F49*Parametres!$D$94=0,0,F52/(F49*Parametres!$D$94))</f>
        <v/>
      </c>
      <c r="G54" s="152">
        <f>IF(G49*Parametres!$D$94=0,0,G52/(G49*Parametres!$D$94))</f>
        <v/>
      </c>
      <c r="H54" s="152">
        <f>IF(H49*Parametres!$D$94=0,0,H52/(H49*Parametres!$D$94))</f>
        <v/>
      </c>
      <c r="I54" s="152">
        <f>IF(I49*Parametres!$D$94=0,0,I52/(I49*Parametres!$D$94))</f>
        <v/>
      </c>
      <c r="J54" s="152">
        <f>IF(J49*Parametres!$D$94=0,0,J52/(J49*Parametres!$D$94))</f>
        <v/>
      </c>
      <c r="K54" s="152">
        <f>IF(K49*Parametres!$D$94=0,0,K52/(K49*Parametres!$D$94))</f>
        <v/>
      </c>
      <c r="L54" s="152">
        <f>IF(L49*Parametres!$D$94=0,0,L52/(L49*Parametres!$D$94))</f>
        <v/>
      </c>
      <c r="M54" s="152">
        <f>IF(M49*Parametres!$D$94=0,0,M52/(M49*Parametres!$D$94))</f>
        <v/>
      </c>
      <c r="N54" s="152">
        <f>IF(N49*Parametres!$D$94=0,0,N52/(N49*Parametres!$D$94))</f>
        <v/>
      </c>
      <c r="O54" s="152">
        <f>IF(O49*Parametres!$D$94=0,0,O52/(O49*Parametres!$D$94))</f>
        <v/>
      </c>
      <c r="P54" s="152">
        <f>IF(P49*Parametres!$D$94=0,0,P52/(P49*Parametres!$D$94))</f>
        <v/>
      </c>
      <c r="Q54" s="152">
        <f>IF(Q49*Parametres!$D$94=0,0,Q52/(Q49*Parametres!$D$94))</f>
        <v/>
      </c>
      <c r="R54" s="152">
        <f>IF(R49*Parametres!$D$94=0,0,R52/(R49*Parametres!$D$94))</f>
        <v/>
      </c>
      <c r="S54" s="152">
        <f>IF(S49*Parametres!$D$94=0,0,S52/(S49*Parametres!$D$94))</f>
        <v/>
      </c>
      <c r="T54" s="152">
        <f>IF(T49*Parametres!$D$94=0,0,T52/(T49*Parametres!$D$94))</f>
        <v/>
      </c>
      <c r="U54" s="152">
        <f>IF(U49*Parametres!$D$94=0,0,U52/(U49*Parametres!$D$94))</f>
        <v/>
      </c>
      <c r="V54" s="152">
        <f>IF(V49*Parametres!$D$94=0,0,V52/(V49*Parametres!$D$94))</f>
        <v/>
      </c>
      <c r="W54" s="152">
        <f>IF(W49*Parametres!$D$94=0,0,W52/(W49*Parametres!$D$94))</f>
        <v/>
      </c>
      <c r="X54" s="152">
        <f>IF(X49*Parametres!$D$94=0,0,X52/(X49*Parametres!$D$94))</f>
        <v/>
      </c>
      <c r="Y54" s="152">
        <f>IF(Y49*Parametres!$D$94=0,0,Y52/(Y49*Parametres!$D$94))</f>
        <v/>
      </c>
      <c r="Z54" s="152">
        <f>IF(Z49*Parametres!$D$94=0,0,Z52/(Z49*Parametres!$D$94))</f>
        <v/>
      </c>
      <c r="AA54" s="152">
        <f>IF(AA49*Parametres!$D$94=0,0,AA52/(AA49*Parametres!$D$94))</f>
        <v/>
      </c>
      <c r="AB54" s="152">
        <f>IF(AB49*Parametres!$D$94=0,0,AB52/(AB49*Parametres!$D$94))</f>
        <v/>
      </c>
      <c r="AC54" s="152">
        <f>IF(AC49*Parametres!$D$94=0,0,AC52/(AC49*Parametres!$D$94))</f>
        <v/>
      </c>
      <c r="AD54" s="152">
        <f>IF(AD49*Parametres!$D$94=0,0,AD52/(AD49*Parametres!$D$94))</f>
        <v/>
      </c>
      <c r="AE54" s="152">
        <f>IF(AE49*Parametres!$D$94=0,0,AE52/(AE49*Parametres!$D$94))</f>
        <v/>
      </c>
      <c r="AF54" s="152">
        <f>IF(AF49*Parametres!$D$94=0,0,AF52/(AF49*Parametres!$D$94))</f>
        <v/>
      </c>
      <c r="AG54" s="152">
        <f>IF(AG49*Parametres!$D$94=0,0,AG52/(AG49*Parametres!$D$94))</f>
        <v/>
      </c>
      <c r="AH54" s="152">
        <f>IF(AH49*Parametres!$D$94=0,0,AH52/(AH49*Parametres!$D$94))</f>
        <v/>
      </c>
      <c r="AI54" s="152">
        <f>IF(AI49*Parametres!$D$94=0,0,AI52/(AI49*Parametres!$D$94))</f>
        <v/>
      </c>
      <c r="AJ54" s="152">
        <f>IF(AJ49*Parametres!$D$94=0,0,AJ52/(AJ49*Parametres!$D$94))</f>
        <v/>
      </c>
      <c r="AK54" s="152">
        <f>IF(AK49*Parametres!$D$94=0,0,AK52/(AK49*Parametres!$D$94))</f>
        <v/>
      </c>
    </row>
    <row r="55" s="143">
      <c r="A55" s="149" t="inlineStr">
        <is>
          <t>Panier / loyer moyen (indexé par an)</t>
        </is>
      </c>
      <c r="B55" s="168">
        <f>Parametres!$D$40*(1+Parametres!$D$46)^(B$2-1)</f>
        <v/>
      </c>
      <c r="C55" s="168">
        <f>Parametres!$D$40*(1+Parametres!$D$46)^(C$2-1)</f>
        <v/>
      </c>
      <c r="D55" s="168">
        <f>Parametres!$D$40*(1+Parametres!$D$46)^(D$2-1)</f>
        <v/>
      </c>
      <c r="E55" s="168">
        <f>Parametres!$D$40*(1+Parametres!$D$46)^(E$2-1)</f>
        <v/>
      </c>
      <c r="F55" s="168">
        <f>Parametres!$D$40*(1+Parametres!$D$46)^(F$2-1)</f>
        <v/>
      </c>
      <c r="G55" s="168">
        <f>Parametres!$D$40*(1+Parametres!$D$46)^(G$2-1)</f>
        <v/>
      </c>
      <c r="H55" s="168">
        <f>Parametres!$D$40*(1+Parametres!$D$46)^(H$2-1)</f>
        <v/>
      </c>
      <c r="I55" s="168">
        <f>Parametres!$D$40*(1+Parametres!$D$46)^(I$2-1)</f>
        <v/>
      </c>
      <c r="J55" s="168">
        <f>Parametres!$D$40*(1+Parametres!$D$46)^(J$2-1)</f>
        <v/>
      </c>
      <c r="K55" s="168">
        <f>Parametres!$D$40*(1+Parametres!$D$46)^(K$2-1)</f>
        <v/>
      </c>
      <c r="L55" s="168">
        <f>Parametres!$D$40*(1+Parametres!$D$46)^(L$2-1)</f>
        <v/>
      </c>
      <c r="M55" s="168">
        <f>Parametres!$D$40*(1+Parametres!$D$46)^(M$2-1)</f>
        <v/>
      </c>
      <c r="N55" s="168">
        <f>Parametres!$D$40*(1+Parametres!$D$46)^(N$2-1)</f>
        <v/>
      </c>
      <c r="O55" s="168">
        <f>Parametres!$D$40*(1+Parametres!$D$46)^(O$2-1)</f>
        <v/>
      </c>
      <c r="P55" s="168">
        <f>Parametres!$D$40*(1+Parametres!$D$46)^(P$2-1)</f>
        <v/>
      </c>
      <c r="Q55" s="168">
        <f>Parametres!$D$40*(1+Parametres!$D$46)^(Q$2-1)</f>
        <v/>
      </c>
      <c r="R55" s="168">
        <f>Parametres!$D$40*(1+Parametres!$D$46)^(R$2-1)</f>
        <v/>
      </c>
      <c r="S55" s="168">
        <f>Parametres!$D$40*(1+Parametres!$D$46)^(S$2-1)</f>
        <v/>
      </c>
      <c r="T55" s="168">
        <f>Parametres!$D$40*(1+Parametres!$D$46)^(T$2-1)</f>
        <v/>
      </c>
      <c r="U55" s="168">
        <f>Parametres!$D$40*(1+Parametres!$D$46)^(U$2-1)</f>
        <v/>
      </c>
      <c r="V55" s="168">
        <f>Parametres!$D$40*(1+Parametres!$D$46)^(V$2-1)</f>
        <v/>
      </c>
      <c r="W55" s="168">
        <f>Parametres!$D$40*(1+Parametres!$D$46)^(W$2-1)</f>
        <v/>
      </c>
      <c r="X55" s="168">
        <f>Parametres!$D$40*(1+Parametres!$D$46)^(X$2-1)</f>
        <v/>
      </c>
      <c r="Y55" s="168">
        <f>Parametres!$D$40*(1+Parametres!$D$46)^(Y$2-1)</f>
        <v/>
      </c>
      <c r="Z55" s="168">
        <f>Parametres!$D$40*(1+Parametres!$D$46)^(Z$2-1)</f>
        <v/>
      </c>
      <c r="AA55" s="168">
        <f>Parametres!$D$40*(1+Parametres!$D$46)^(AA$2-1)</f>
        <v/>
      </c>
      <c r="AB55" s="168">
        <f>Parametres!$D$40*(1+Parametres!$D$46)^(AB$2-1)</f>
        <v/>
      </c>
      <c r="AC55" s="168">
        <f>Parametres!$D$40*(1+Parametres!$D$46)^(AC$2-1)</f>
        <v/>
      </c>
      <c r="AD55" s="168">
        <f>Parametres!$D$40*(1+Parametres!$D$46)^(AD$2-1)</f>
        <v/>
      </c>
      <c r="AE55" s="168">
        <f>Parametres!$D$40*(1+Parametres!$D$46)^(AE$2-1)</f>
        <v/>
      </c>
      <c r="AF55" s="168">
        <f>Parametres!$D$40*(1+Parametres!$D$46)^(AF$2-1)</f>
        <v/>
      </c>
      <c r="AG55" s="168">
        <f>Parametres!$D$40*(1+Parametres!$D$46)^(AG$2-1)</f>
        <v/>
      </c>
      <c r="AH55" s="168">
        <f>Parametres!$D$40*(1+Parametres!$D$46)^(AH$2-1)</f>
        <v/>
      </c>
      <c r="AI55" s="168">
        <f>Parametres!$D$40*(1+Parametres!$D$46)^(AI$2-1)</f>
        <v/>
      </c>
      <c r="AJ55" s="168">
        <f>Parametres!$D$40*(1+Parametres!$D$46)^(AJ$2-1)</f>
        <v/>
      </c>
      <c r="AK55" s="168">
        <f>Parametres!$D$40*(1+Parametres!$D$46)^(AK$2-1)</f>
        <v/>
      </c>
    </row>
    <row r="56" s="143">
      <c r="A56" s="147" t="inlineStr">
        <is>
          <t>GMV locations C2C</t>
        </is>
      </c>
      <c r="B56" s="205">
        <f>B52*B55</f>
        <v/>
      </c>
      <c r="C56" s="205">
        <f>C52*C55</f>
        <v/>
      </c>
      <c r="D56" s="205">
        <f>D52*D55</f>
        <v/>
      </c>
      <c r="E56" s="205">
        <f>E52*E55</f>
        <v/>
      </c>
      <c r="F56" s="205">
        <f>F52*F55</f>
        <v/>
      </c>
      <c r="G56" s="205">
        <f>G52*G55</f>
        <v/>
      </c>
      <c r="H56" s="205">
        <f>H52*H55</f>
        <v/>
      </c>
      <c r="I56" s="205">
        <f>I52*I55</f>
        <v/>
      </c>
      <c r="J56" s="205">
        <f>J52*J55</f>
        <v/>
      </c>
      <c r="K56" s="205">
        <f>K52*K55</f>
        <v/>
      </c>
      <c r="L56" s="205">
        <f>L52*L55</f>
        <v/>
      </c>
      <c r="M56" s="205">
        <f>M52*M55</f>
        <v/>
      </c>
      <c r="N56" s="205">
        <f>N52*N55</f>
        <v/>
      </c>
      <c r="O56" s="205">
        <f>O52*O55</f>
        <v/>
      </c>
      <c r="P56" s="205">
        <f>P52*P55</f>
        <v/>
      </c>
      <c r="Q56" s="205">
        <f>Q52*Q55</f>
        <v/>
      </c>
      <c r="R56" s="205">
        <f>R52*R55</f>
        <v/>
      </c>
      <c r="S56" s="205">
        <f>S52*S55</f>
        <v/>
      </c>
      <c r="T56" s="205">
        <f>T52*T55</f>
        <v/>
      </c>
      <c r="U56" s="205">
        <f>U52*U55</f>
        <v/>
      </c>
      <c r="V56" s="205">
        <f>V52*V55</f>
        <v/>
      </c>
      <c r="W56" s="205">
        <f>W52*W55</f>
        <v/>
      </c>
      <c r="X56" s="205">
        <f>X52*X55</f>
        <v/>
      </c>
      <c r="Y56" s="205">
        <f>Y52*Y55</f>
        <v/>
      </c>
      <c r="Z56" s="205">
        <f>Z52*Z55</f>
        <v/>
      </c>
      <c r="AA56" s="205">
        <f>AA52*AA55</f>
        <v/>
      </c>
      <c r="AB56" s="205">
        <f>AB52*AB55</f>
        <v/>
      </c>
      <c r="AC56" s="205">
        <f>AC52*AC55</f>
        <v/>
      </c>
      <c r="AD56" s="205">
        <f>AD52*AD55</f>
        <v/>
      </c>
      <c r="AE56" s="205">
        <f>AE52*AE55</f>
        <v/>
      </c>
      <c r="AF56" s="205">
        <f>AF52*AF55</f>
        <v/>
      </c>
      <c r="AG56" s="205">
        <f>AG52*AG55</f>
        <v/>
      </c>
      <c r="AH56" s="205">
        <f>AH52*AH55</f>
        <v/>
      </c>
      <c r="AI56" s="205">
        <f>AI52*AI55</f>
        <v/>
      </c>
      <c r="AJ56" s="205">
        <f>AJ52*AJ55</f>
        <v/>
      </c>
      <c r="AK56" s="205">
        <f>AK52*AK55</f>
        <v/>
      </c>
    </row>
    <row r="57" s="143">
      <c r="A57" s="147" t="inlineStr">
        <is>
          <t>CA commissions locations particuliers</t>
        </is>
      </c>
      <c r="B57" s="206">
        <f>B56*Parametres!$D$41</f>
        <v/>
      </c>
      <c r="C57" s="206">
        <f>C56*Parametres!$D$41</f>
        <v/>
      </c>
      <c r="D57" s="206">
        <f>D56*Parametres!$D$41</f>
        <v/>
      </c>
      <c r="E57" s="206">
        <f>E56*Parametres!$D$41</f>
        <v/>
      </c>
      <c r="F57" s="206">
        <f>F56*Parametres!$D$41</f>
        <v/>
      </c>
      <c r="G57" s="206">
        <f>G56*Parametres!$D$41</f>
        <v/>
      </c>
      <c r="H57" s="206">
        <f>H56*Parametres!$D$41</f>
        <v/>
      </c>
      <c r="I57" s="206">
        <f>I56*Parametres!$D$41</f>
        <v/>
      </c>
      <c r="J57" s="206">
        <f>J56*Parametres!$D$41</f>
        <v/>
      </c>
      <c r="K57" s="206">
        <f>K56*Parametres!$D$41</f>
        <v/>
      </c>
      <c r="L57" s="206">
        <f>L56*Parametres!$D$41</f>
        <v/>
      </c>
      <c r="M57" s="206">
        <f>M56*Parametres!$D$41</f>
        <v/>
      </c>
      <c r="N57" s="206">
        <f>N56*Parametres!$D$41</f>
        <v/>
      </c>
      <c r="O57" s="206">
        <f>O56*Parametres!$D$41</f>
        <v/>
      </c>
      <c r="P57" s="206">
        <f>P56*Parametres!$D$41</f>
        <v/>
      </c>
      <c r="Q57" s="206">
        <f>Q56*Parametres!$D$41</f>
        <v/>
      </c>
      <c r="R57" s="206">
        <f>R56*Parametres!$D$41</f>
        <v/>
      </c>
      <c r="S57" s="206">
        <f>S56*Parametres!$D$41</f>
        <v/>
      </c>
      <c r="T57" s="206">
        <f>T56*Parametres!$D$41</f>
        <v/>
      </c>
      <c r="U57" s="206">
        <f>U56*Parametres!$D$41</f>
        <v/>
      </c>
      <c r="V57" s="206">
        <f>V56*Parametres!$D$41</f>
        <v/>
      </c>
      <c r="W57" s="206">
        <f>W56*Parametres!$D$41</f>
        <v/>
      </c>
      <c r="X57" s="206">
        <f>X56*Parametres!$D$41</f>
        <v/>
      </c>
      <c r="Y57" s="206">
        <f>Y56*Parametres!$D$41</f>
        <v/>
      </c>
      <c r="Z57" s="206">
        <f>Z56*Parametres!$D$41</f>
        <v/>
      </c>
      <c r="AA57" s="206">
        <f>AA56*Parametres!$D$41</f>
        <v/>
      </c>
      <c r="AB57" s="206">
        <f>AB56*Parametres!$D$41</f>
        <v/>
      </c>
      <c r="AC57" s="206">
        <f>AC56*Parametres!$D$41</f>
        <v/>
      </c>
      <c r="AD57" s="206">
        <f>AD56*Parametres!$D$41</f>
        <v/>
      </c>
      <c r="AE57" s="206">
        <f>AE56*Parametres!$D$41</f>
        <v/>
      </c>
      <c r="AF57" s="206">
        <f>AF56*Parametres!$D$41</f>
        <v/>
      </c>
      <c r="AG57" s="206">
        <f>AG56*Parametres!$D$41</f>
        <v/>
      </c>
      <c r="AH57" s="206">
        <f>AH56*Parametres!$D$41</f>
        <v/>
      </c>
      <c r="AI57" s="206">
        <f>AI56*Parametres!$D$41</f>
        <v/>
      </c>
      <c r="AJ57" s="206">
        <f>AJ56*Parametres!$D$41</f>
        <v/>
      </c>
      <c r="AK57" s="206">
        <f>AK56*Parametres!$D$41</f>
        <v/>
      </c>
    </row>
    <row r="58" s="143">
      <c r="A58" s="149" t="n"/>
      <c r="B58" s="149" t="n"/>
      <c r="C58" s="149" t="n"/>
      <c r="D58" s="149" t="n"/>
      <c r="E58" s="149" t="n"/>
      <c r="F58" s="149" t="n"/>
      <c r="G58" s="149" t="n"/>
      <c r="H58" s="149" t="n"/>
      <c r="I58" s="149" t="n"/>
      <c r="J58" s="149" t="n"/>
      <c r="K58" s="149" t="n"/>
      <c r="L58" s="149" t="n"/>
      <c r="M58" s="149" t="n"/>
      <c r="N58" s="149" t="n"/>
      <c r="O58" s="149" t="n"/>
      <c r="P58" s="149" t="n"/>
      <c r="Q58" s="149" t="n"/>
      <c r="R58" s="149" t="n"/>
      <c r="S58" s="149" t="n"/>
      <c r="T58" s="149" t="n"/>
      <c r="U58" s="149" t="n"/>
      <c r="V58" s="149" t="n"/>
      <c r="W58" s="149" t="n"/>
      <c r="X58" s="14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  <c r="AK58" s="149" t="n"/>
    </row>
    <row r="59" ht="18" customHeight="1" s="143">
      <c r="A59" s="150" t="inlineStr">
        <is>
          <t>TOTAUX</t>
        </is>
      </c>
      <c r="B59" s="150" t="n"/>
      <c r="C59" s="150" t="n"/>
      <c r="D59" s="150" t="n"/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0" t="n"/>
      <c r="Q59" s="150" t="n"/>
      <c r="R59" s="150" t="n"/>
      <c r="S59" s="150" t="n"/>
      <c r="T59" s="150" t="n"/>
      <c r="U59" s="150" t="n"/>
      <c r="V59" s="150" t="n"/>
      <c r="W59" s="150" t="n"/>
      <c r="X59" s="150" t="n"/>
      <c r="Y59" s="150" t="n"/>
      <c r="Z59" s="150" t="n"/>
      <c r="AA59" s="150" t="n"/>
      <c r="AB59" s="150" t="n"/>
      <c r="AC59" s="150" t="n"/>
      <c r="AD59" s="150" t="n"/>
      <c r="AE59" s="150" t="n"/>
      <c r="AF59" s="150" t="n"/>
      <c r="AG59" s="150" t="n"/>
      <c r="AH59" s="150" t="n"/>
      <c r="AI59" s="150" t="n"/>
      <c r="AJ59" s="150" t="n"/>
      <c r="AK59" s="150" t="n"/>
    </row>
    <row r="60" s="143">
      <c r="A60" s="147" t="inlineStr">
        <is>
          <t>GMV total (prestations + locations)</t>
        </is>
      </c>
      <c r="B60" s="205">
        <f>B23+B43+B56</f>
        <v/>
      </c>
      <c r="C60" s="205">
        <f>C23+C43+C56</f>
        <v/>
      </c>
      <c r="D60" s="205">
        <f>D23+D43+D56</f>
        <v/>
      </c>
      <c r="E60" s="205">
        <f>E23+E43+E56</f>
        <v/>
      </c>
      <c r="F60" s="205">
        <f>F23+F43+F56</f>
        <v/>
      </c>
      <c r="G60" s="205">
        <f>G23+G43+G56</f>
        <v/>
      </c>
      <c r="H60" s="205">
        <f>H23+H43+H56</f>
        <v/>
      </c>
      <c r="I60" s="205">
        <f>I23+I43+I56</f>
        <v/>
      </c>
      <c r="J60" s="205">
        <f>J23+J43+J56</f>
        <v/>
      </c>
      <c r="K60" s="205">
        <f>K23+K43+K56</f>
        <v/>
      </c>
      <c r="L60" s="205">
        <f>L23+L43+L56</f>
        <v/>
      </c>
      <c r="M60" s="205">
        <f>M23+M43+M56</f>
        <v/>
      </c>
      <c r="N60" s="205">
        <f>N23+N43+N56</f>
        <v/>
      </c>
      <c r="O60" s="205">
        <f>O23+O43+O56</f>
        <v/>
      </c>
      <c r="P60" s="205">
        <f>P23+P43+P56</f>
        <v/>
      </c>
      <c r="Q60" s="205">
        <f>Q23+Q43+Q56</f>
        <v/>
      </c>
      <c r="R60" s="205">
        <f>R23+R43+R56</f>
        <v/>
      </c>
      <c r="S60" s="205">
        <f>S23+S43+S56</f>
        <v/>
      </c>
      <c r="T60" s="205">
        <f>T23+T43+T56</f>
        <v/>
      </c>
      <c r="U60" s="205">
        <f>U23+U43+U56</f>
        <v/>
      </c>
      <c r="V60" s="205">
        <f>V23+V43+V56</f>
        <v/>
      </c>
      <c r="W60" s="205">
        <f>W23+W43+W56</f>
        <v/>
      </c>
      <c r="X60" s="205">
        <f>X23+X43+X56</f>
        <v/>
      </c>
      <c r="Y60" s="205">
        <f>Y23+Y43+Y56</f>
        <v/>
      </c>
      <c r="Z60" s="205">
        <f>Z23+Z43+Z56</f>
        <v/>
      </c>
      <c r="AA60" s="205">
        <f>AA23+AA43+AA56</f>
        <v/>
      </c>
      <c r="AB60" s="205">
        <f>AB23+AB43+AB56</f>
        <v/>
      </c>
      <c r="AC60" s="205">
        <f>AC23+AC43+AC56</f>
        <v/>
      </c>
      <c r="AD60" s="205">
        <f>AD23+AD43+AD56</f>
        <v/>
      </c>
      <c r="AE60" s="205">
        <f>AE23+AE43+AE56</f>
        <v/>
      </c>
      <c r="AF60" s="205">
        <f>AF23+AF43+AF56</f>
        <v/>
      </c>
      <c r="AG60" s="205">
        <f>AG23+AG43+AG56</f>
        <v/>
      </c>
      <c r="AH60" s="205">
        <f>AH23+AH43+AH56</f>
        <v/>
      </c>
      <c r="AI60" s="205">
        <f>AI23+AI43+AI56</f>
        <v/>
      </c>
      <c r="AJ60" s="205">
        <f>AJ23+AJ43+AJ56</f>
        <v/>
      </c>
      <c r="AK60" s="205">
        <f>AK23+AK43+AK56</f>
        <v/>
      </c>
    </row>
    <row r="61" s="143">
      <c r="A61" s="147" t="inlineStr">
        <is>
          <t>MRR (abonnements Ampio+ + vidéo)</t>
        </is>
      </c>
      <c r="B61" s="205">
        <f>B17+B31</f>
        <v/>
      </c>
      <c r="C61" s="205">
        <f>C17+C31</f>
        <v/>
      </c>
      <c r="D61" s="205">
        <f>D17+D31</f>
        <v/>
      </c>
      <c r="E61" s="205">
        <f>E17+E31</f>
        <v/>
      </c>
      <c r="F61" s="205">
        <f>F17+F31</f>
        <v/>
      </c>
      <c r="G61" s="205">
        <f>G17+G31</f>
        <v/>
      </c>
      <c r="H61" s="205">
        <f>H17+H31</f>
        <v/>
      </c>
      <c r="I61" s="205">
        <f>I17+I31</f>
        <v/>
      </c>
      <c r="J61" s="205">
        <f>J17+J31</f>
        <v/>
      </c>
      <c r="K61" s="205">
        <f>K17+K31</f>
        <v/>
      </c>
      <c r="L61" s="205">
        <f>L17+L31</f>
        <v/>
      </c>
      <c r="M61" s="205">
        <f>M17+M31</f>
        <v/>
      </c>
      <c r="N61" s="205">
        <f>N17+N31</f>
        <v/>
      </c>
      <c r="O61" s="205">
        <f>O17+O31</f>
        <v/>
      </c>
      <c r="P61" s="205">
        <f>P17+P31</f>
        <v/>
      </c>
      <c r="Q61" s="205">
        <f>Q17+Q31</f>
        <v/>
      </c>
      <c r="R61" s="205">
        <f>R17+R31</f>
        <v/>
      </c>
      <c r="S61" s="205">
        <f>S17+S31</f>
        <v/>
      </c>
      <c r="T61" s="205">
        <f>T17+T31</f>
        <v/>
      </c>
      <c r="U61" s="205">
        <f>U17+U31</f>
        <v/>
      </c>
      <c r="V61" s="205">
        <f>V17+V31</f>
        <v/>
      </c>
      <c r="W61" s="205">
        <f>W17+W31</f>
        <v/>
      </c>
      <c r="X61" s="205">
        <f>X17+X31</f>
        <v/>
      </c>
      <c r="Y61" s="205">
        <f>Y17+Y31</f>
        <v/>
      </c>
      <c r="Z61" s="205">
        <f>Z17+Z31</f>
        <v/>
      </c>
      <c r="AA61" s="205">
        <f>AA17+AA31</f>
        <v/>
      </c>
      <c r="AB61" s="205">
        <f>AB17+AB31</f>
        <v/>
      </c>
      <c r="AC61" s="205">
        <f>AC17+AC31</f>
        <v/>
      </c>
      <c r="AD61" s="205">
        <f>AD17+AD31</f>
        <v/>
      </c>
      <c r="AE61" s="205">
        <f>AE17+AE31</f>
        <v/>
      </c>
      <c r="AF61" s="205">
        <f>AF17+AF31</f>
        <v/>
      </c>
      <c r="AG61" s="205">
        <f>AG17+AG31</f>
        <v/>
      </c>
      <c r="AH61" s="205">
        <f>AH17+AH31</f>
        <v/>
      </c>
      <c r="AI61" s="205">
        <f>AI17+AI31</f>
        <v/>
      </c>
      <c r="AJ61" s="205">
        <f>AJ17+AJ31</f>
        <v/>
      </c>
      <c r="AK61" s="205">
        <f>AK17+AK31</f>
        <v/>
      </c>
    </row>
    <row r="62" s="143">
      <c r="A62" s="147" t="inlineStr">
        <is>
          <t>CA transactionnel (commissions)</t>
        </is>
      </c>
      <c r="B62" s="205">
        <f>B24+B44+B57</f>
        <v/>
      </c>
      <c r="C62" s="205">
        <f>C24+C44+C57</f>
        <v/>
      </c>
      <c r="D62" s="205">
        <f>D24+D44+D57</f>
        <v/>
      </c>
      <c r="E62" s="205">
        <f>E24+E44+E57</f>
        <v/>
      </c>
      <c r="F62" s="205">
        <f>F24+F44+F57</f>
        <v/>
      </c>
      <c r="G62" s="205">
        <f>G24+G44+G57</f>
        <v/>
      </c>
      <c r="H62" s="205">
        <f>H24+H44+H57</f>
        <v/>
      </c>
      <c r="I62" s="205">
        <f>I24+I44+I57</f>
        <v/>
      </c>
      <c r="J62" s="205">
        <f>J24+J44+J57</f>
        <v/>
      </c>
      <c r="K62" s="205">
        <f>K24+K44+K57</f>
        <v/>
      </c>
      <c r="L62" s="205">
        <f>L24+L44+L57</f>
        <v/>
      </c>
      <c r="M62" s="205">
        <f>M24+M44+M57</f>
        <v/>
      </c>
      <c r="N62" s="205">
        <f>N24+N44+N57</f>
        <v/>
      </c>
      <c r="O62" s="205">
        <f>O24+O44+O57</f>
        <v/>
      </c>
      <c r="P62" s="205">
        <f>P24+P44+P57</f>
        <v/>
      </c>
      <c r="Q62" s="205">
        <f>Q24+Q44+Q57</f>
        <v/>
      </c>
      <c r="R62" s="205">
        <f>R24+R44+R57</f>
        <v/>
      </c>
      <c r="S62" s="205">
        <f>S24+S44+S57</f>
        <v/>
      </c>
      <c r="T62" s="205">
        <f>T24+T44+T57</f>
        <v/>
      </c>
      <c r="U62" s="205">
        <f>U24+U44+U57</f>
        <v/>
      </c>
      <c r="V62" s="205">
        <f>V24+V44+V57</f>
        <v/>
      </c>
      <c r="W62" s="205">
        <f>W24+W44+W57</f>
        <v/>
      </c>
      <c r="X62" s="205">
        <f>X24+X44+X57</f>
        <v/>
      </c>
      <c r="Y62" s="205">
        <f>Y24+Y44+Y57</f>
        <v/>
      </c>
      <c r="Z62" s="205">
        <f>Z24+Z44+Z57</f>
        <v/>
      </c>
      <c r="AA62" s="205">
        <f>AA24+AA44+AA57</f>
        <v/>
      </c>
      <c r="AB62" s="205">
        <f>AB24+AB44+AB57</f>
        <v/>
      </c>
      <c r="AC62" s="205">
        <f>AC24+AC44+AC57</f>
        <v/>
      </c>
      <c r="AD62" s="205">
        <f>AD24+AD44+AD57</f>
        <v/>
      </c>
      <c r="AE62" s="205">
        <f>AE24+AE44+AE57</f>
        <v/>
      </c>
      <c r="AF62" s="205">
        <f>AF24+AF44+AF57</f>
        <v/>
      </c>
      <c r="AG62" s="205">
        <f>AG24+AG44+AG57</f>
        <v/>
      </c>
      <c r="AH62" s="205">
        <f>AH24+AH44+AH57</f>
        <v/>
      </c>
      <c r="AI62" s="205">
        <f>AI24+AI44+AI57</f>
        <v/>
      </c>
      <c r="AJ62" s="205">
        <f>AJ24+AJ44+AJ57</f>
        <v/>
      </c>
      <c r="AK62" s="205">
        <f>AK24+AK44+AK57</f>
        <v/>
      </c>
    </row>
    <row r="63" s="143">
      <c r="A63" s="147" t="inlineStr">
        <is>
          <t>CHIFFRE D'AFFAIRES TOTAL (IFRS 15 — agent : commissions + abonnements)</t>
        </is>
      </c>
      <c r="B63" s="205">
        <f>B61+B62</f>
        <v/>
      </c>
      <c r="C63" s="205">
        <f>C61+C62</f>
        <v/>
      </c>
      <c r="D63" s="205">
        <f>D61+D62</f>
        <v/>
      </c>
      <c r="E63" s="205">
        <f>E61+E62</f>
        <v/>
      </c>
      <c r="F63" s="205">
        <f>F61+F62</f>
        <v/>
      </c>
      <c r="G63" s="205">
        <f>G61+G62</f>
        <v/>
      </c>
      <c r="H63" s="205">
        <f>H61+H62</f>
        <v/>
      </c>
      <c r="I63" s="205">
        <f>I61+I62</f>
        <v/>
      </c>
      <c r="J63" s="205">
        <f>J61+J62</f>
        <v/>
      </c>
      <c r="K63" s="205">
        <f>K61+K62</f>
        <v/>
      </c>
      <c r="L63" s="205">
        <f>L61+L62</f>
        <v/>
      </c>
      <c r="M63" s="205">
        <f>M61+M62</f>
        <v/>
      </c>
      <c r="N63" s="205">
        <f>N61+N62</f>
        <v/>
      </c>
      <c r="O63" s="205">
        <f>O61+O62</f>
        <v/>
      </c>
      <c r="P63" s="205">
        <f>P61+P62</f>
        <v/>
      </c>
      <c r="Q63" s="205">
        <f>Q61+Q62</f>
        <v/>
      </c>
      <c r="R63" s="205">
        <f>R61+R62</f>
        <v/>
      </c>
      <c r="S63" s="205">
        <f>S61+S62</f>
        <v/>
      </c>
      <c r="T63" s="205">
        <f>T61+T62</f>
        <v/>
      </c>
      <c r="U63" s="205">
        <f>U61+U62</f>
        <v/>
      </c>
      <c r="V63" s="205">
        <f>V61+V62</f>
        <v/>
      </c>
      <c r="W63" s="205">
        <f>W61+W62</f>
        <v/>
      </c>
      <c r="X63" s="205">
        <f>X61+X62</f>
        <v/>
      </c>
      <c r="Y63" s="205">
        <f>Y61+Y62</f>
        <v/>
      </c>
      <c r="Z63" s="205">
        <f>Z61+Z62</f>
        <v/>
      </c>
      <c r="AA63" s="205">
        <f>AA61+AA62</f>
        <v/>
      </c>
      <c r="AB63" s="205">
        <f>AB61+AB62</f>
        <v/>
      </c>
      <c r="AC63" s="205">
        <f>AC61+AC62</f>
        <v/>
      </c>
      <c r="AD63" s="205">
        <f>AD61+AD62</f>
        <v/>
      </c>
      <c r="AE63" s="205">
        <f>AE61+AE62</f>
        <v/>
      </c>
      <c r="AF63" s="205">
        <f>AF61+AF62</f>
        <v/>
      </c>
      <c r="AG63" s="205">
        <f>AG61+AG62</f>
        <v/>
      </c>
      <c r="AH63" s="205">
        <f>AH61+AH62</f>
        <v/>
      </c>
      <c r="AI63" s="205">
        <f>AI61+AI62</f>
        <v/>
      </c>
      <c r="AJ63" s="205">
        <f>AJ61+AJ62</f>
        <v/>
      </c>
      <c r="AK63" s="205">
        <f>AK61+AK62</f>
        <v/>
      </c>
    </row>
    <row r="64" s="143">
      <c r="A64" s="149" t="inlineStr">
        <is>
          <t>Transactions réalisées (prestations + locations pro + C2C)</t>
        </is>
      </c>
      <c r="B64" s="202">
        <f>B19+B39+B52</f>
        <v/>
      </c>
      <c r="C64" s="202">
        <f>C19+C39+C52</f>
        <v/>
      </c>
      <c r="D64" s="202">
        <f>D19+D39+D52</f>
        <v/>
      </c>
      <c r="E64" s="202">
        <f>E19+E39+E52</f>
        <v/>
      </c>
      <c r="F64" s="202">
        <f>F19+F39+F52</f>
        <v/>
      </c>
      <c r="G64" s="202">
        <f>G19+G39+G52</f>
        <v/>
      </c>
      <c r="H64" s="202">
        <f>H19+H39+H52</f>
        <v/>
      </c>
      <c r="I64" s="202">
        <f>I19+I39+I52</f>
        <v/>
      </c>
      <c r="J64" s="202">
        <f>J19+J39+J52</f>
        <v/>
      </c>
      <c r="K64" s="202">
        <f>K19+K39+K52</f>
        <v/>
      </c>
      <c r="L64" s="202">
        <f>L19+L39+L52</f>
        <v/>
      </c>
      <c r="M64" s="202">
        <f>M19+M39+M52</f>
        <v/>
      </c>
      <c r="N64" s="202">
        <f>N19+N39+N52</f>
        <v/>
      </c>
      <c r="O64" s="202">
        <f>O19+O39+O52</f>
        <v/>
      </c>
      <c r="P64" s="202">
        <f>P19+P39+P52</f>
        <v/>
      </c>
      <c r="Q64" s="202">
        <f>Q19+Q39+Q52</f>
        <v/>
      </c>
      <c r="R64" s="202">
        <f>R19+R39+R52</f>
        <v/>
      </c>
      <c r="S64" s="202">
        <f>S19+S39+S52</f>
        <v/>
      </c>
      <c r="T64" s="202">
        <f>T19+T39+T52</f>
        <v/>
      </c>
      <c r="U64" s="202">
        <f>U19+U39+U52</f>
        <v/>
      </c>
      <c r="V64" s="202">
        <f>V19+V39+V52</f>
        <v/>
      </c>
      <c r="W64" s="202">
        <f>W19+W39+W52</f>
        <v/>
      </c>
      <c r="X64" s="202">
        <f>X19+X39+X52</f>
        <v/>
      </c>
      <c r="Y64" s="202">
        <f>Y19+Y39+Y52</f>
        <v/>
      </c>
      <c r="Z64" s="202">
        <f>Z19+Z39+Z52</f>
        <v/>
      </c>
      <c r="AA64" s="202">
        <f>AA19+AA39+AA52</f>
        <v/>
      </c>
      <c r="AB64" s="202">
        <f>AB19+AB39+AB52</f>
        <v/>
      </c>
      <c r="AC64" s="202">
        <f>AC19+AC39+AC52</f>
        <v/>
      </c>
      <c r="AD64" s="202">
        <f>AD19+AD39+AD52</f>
        <v/>
      </c>
      <c r="AE64" s="202">
        <f>AE19+AE39+AE52</f>
        <v/>
      </c>
      <c r="AF64" s="202">
        <f>AF19+AF39+AF52</f>
        <v/>
      </c>
      <c r="AG64" s="202">
        <f>AG19+AG39+AG52</f>
        <v/>
      </c>
      <c r="AH64" s="202">
        <f>AH19+AH39+AH52</f>
        <v/>
      </c>
      <c r="AI64" s="202">
        <f>AI19+AI39+AI52</f>
        <v/>
      </c>
      <c r="AJ64" s="202">
        <f>AJ19+AJ39+AJ52</f>
        <v/>
      </c>
      <c r="AK64" s="202">
        <f>AK19+AK39+AK52</f>
        <v/>
      </c>
    </row>
    <row r="65" s="143">
      <c r="A65" s="149" t="inlineStr">
        <is>
          <t>Nouveaux clients DEMANDE estimés (part transactions nouveaux ÷ transactions par client)</t>
        </is>
      </c>
      <c r="B65" s="155">
        <f>Parametres!$D$72*B64/Parametres!$D$73</f>
        <v/>
      </c>
      <c r="C65" s="155">
        <f>Parametres!$D$72*C64/Parametres!$D$73</f>
        <v/>
      </c>
      <c r="D65" s="155">
        <f>Parametres!$D$72*D64/Parametres!$D$73</f>
        <v/>
      </c>
      <c r="E65" s="155">
        <f>Parametres!$D$72*E64/Parametres!$D$73</f>
        <v/>
      </c>
      <c r="F65" s="155">
        <f>Parametres!$D$72*F64/Parametres!$D$73</f>
        <v/>
      </c>
      <c r="G65" s="155">
        <f>Parametres!$D$72*G64/Parametres!$D$73</f>
        <v/>
      </c>
      <c r="H65" s="155">
        <f>Parametres!$D$72*H64/Parametres!$D$73</f>
        <v/>
      </c>
      <c r="I65" s="155">
        <f>Parametres!$D$72*I64/Parametres!$D$73</f>
        <v/>
      </c>
      <c r="J65" s="155">
        <f>Parametres!$D$72*J64/Parametres!$D$73</f>
        <v/>
      </c>
      <c r="K65" s="155">
        <f>Parametres!$D$72*K64/Parametres!$D$73</f>
        <v/>
      </c>
      <c r="L65" s="155">
        <f>Parametres!$D$72*L64/Parametres!$D$73</f>
        <v/>
      </c>
      <c r="M65" s="155">
        <f>Parametres!$D$72*M64/Parametres!$D$73</f>
        <v/>
      </c>
      <c r="N65" s="155">
        <f>Parametres!$D$72*N64/Parametres!$D$73</f>
        <v/>
      </c>
      <c r="O65" s="155">
        <f>Parametres!$D$72*O64/Parametres!$D$73</f>
        <v/>
      </c>
      <c r="P65" s="155">
        <f>Parametres!$D$72*P64/Parametres!$D$73</f>
        <v/>
      </c>
      <c r="Q65" s="155">
        <f>Parametres!$D$72*Q64/Parametres!$D$73</f>
        <v/>
      </c>
      <c r="R65" s="155">
        <f>Parametres!$D$72*R64/Parametres!$D$73</f>
        <v/>
      </c>
      <c r="S65" s="155">
        <f>Parametres!$D$72*S64/Parametres!$D$73</f>
        <v/>
      </c>
      <c r="T65" s="155">
        <f>Parametres!$D$72*T64/Parametres!$D$73</f>
        <v/>
      </c>
      <c r="U65" s="155">
        <f>Parametres!$D$72*U64/Parametres!$D$73</f>
        <v/>
      </c>
      <c r="V65" s="155">
        <f>Parametres!$D$72*V64/Parametres!$D$73</f>
        <v/>
      </c>
      <c r="W65" s="155">
        <f>Parametres!$D$72*W64/Parametres!$D$73</f>
        <v/>
      </c>
      <c r="X65" s="155">
        <f>Parametres!$D$72*X64/Parametres!$D$73</f>
        <v/>
      </c>
      <c r="Y65" s="155">
        <f>Parametres!$D$72*Y64/Parametres!$D$73</f>
        <v/>
      </c>
      <c r="Z65" s="155">
        <f>Parametres!$D$72*Z64/Parametres!$D$73</f>
        <v/>
      </c>
      <c r="AA65" s="155">
        <f>Parametres!$D$72*AA64/Parametres!$D$73</f>
        <v/>
      </c>
      <c r="AB65" s="155">
        <f>Parametres!$D$72*AB64/Parametres!$D$73</f>
        <v/>
      </c>
      <c r="AC65" s="155">
        <f>Parametres!$D$72*AC64/Parametres!$D$73</f>
        <v/>
      </c>
      <c r="AD65" s="155">
        <f>Parametres!$D$72*AD64/Parametres!$D$73</f>
        <v/>
      </c>
      <c r="AE65" s="155">
        <f>Parametres!$D$72*AE64/Parametres!$D$73</f>
        <v/>
      </c>
      <c r="AF65" s="155">
        <f>Parametres!$D$72*AF64/Parametres!$D$73</f>
        <v/>
      </c>
      <c r="AG65" s="155">
        <f>Parametres!$D$72*AG64/Parametres!$D$73</f>
        <v/>
      </c>
      <c r="AH65" s="155">
        <f>Parametres!$D$72*AH64/Parametres!$D$73</f>
        <v/>
      </c>
      <c r="AI65" s="155">
        <f>Parametres!$D$72*AI64/Parametres!$D$73</f>
        <v/>
      </c>
      <c r="AJ65" s="155">
        <f>Parametres!$D$72*AJ64/Parametres!$D$73</f>
        <v/>
      </c>
      <c r="AK65" s="155">
        <f>Parametres!$D$72*AK64/Parametres!$D$73</f>
        <v/>
      </c>
    </row>
    <row r="66" s="143">
      <c r="A66" s="149" t="inlineStr">
        <is>
          <t>Nouveaux clients à vérifier (prestataires + loueurs + vidéo + demande)</t>
        </is>
      </c>
      <c r="B66" s="202">
        <f>B11+B34+B27+B65</f>
        <v/>
      </c>
      <c r="C66" s="202">
        <f>C11+C34+C27+C65</f>
        <v/>
      </c>
      <c r="D66" s="202">
        <f>D11+D34+D27+D65</f>
        <v/>
      </c>
      <c r="E66" s="202">
        <f>E11+E34+E27+E65</f>
        <v/>
      </c>
      <c r="F66" s="202">
        <f>F11+F34+F27+F65</f>
        <v/>
      </c>
      <c r="G66" s="202">
        <f>G11+G34+G27+G65</f>
        <v/>
      </c>
      <c r="H66" s="202">
        <f>H11+H34+H27+H65</f>
        <v/>
      </c>
      <c r="I66" s="202">
        <f>I11+I34+I27+I65</f>
        <v/>
      </c>
      <c r="J66" s="202">
        <f>J11+J34+J27+J65</f>
        <v/>
      </c>
      <c r="K66" s="202">
        <f>K11+K34+K27+K65</f>
        <v/>
      </c>
      <c r="L66" s="202">
        <f>L11+L34+L27+L65</f>
        <v/>
      </c>
      <c r="M66" s="202">
        <f>M11+M34+M27+M65</f>
        <v/>
      </c>
      <c r="N66" s="202">
        <f>N11+N34+N27+N65</f>
        <v/>
      </c>
      <c r="O66" s="202">
        <f>O11+O34+O27+O65</f>
        <v/>
      </c>
      <c r="P66" s="202">
        <f>P11+P34+P27+P65</f>
        <v/>
      </c>
      <c r="Q66" s="202">
        <f>Q11+Q34+Q27+Q65</f>
        <v/>
      </c>
      <c r="R66" s="202">
        <f>R11+R34+R27+R65</f>
        <v/>
      </c>
      <c r="S66" s="202">
        <f>S11+S34+S27+S65</f>
        <v/>
      </c>
      <c r="T66" s="202">
        <f>T11+T34+T27+T65</f>
        <v/>
      </c>
      <c r="U66" s="202">
        <f>U11+U34+U27+U65</f>
        <v/>
      </c>
      <c r="V66" s="202">
        <f>V11+V34+V27+V65</f>
        <v/>
      </c>
      <c r="W66" s="202">
        <f>W11+W34+W27+W65</f>
        <v/>
      </c>
      <c r="X66" s="202">
        <f>X11+X34+X27+X65</f>
        <v/>
      </c>
      <c r="Y66" s="202">
        <f>Y11+Y34+Y27+Y65</f>
        <v/>
      </c>
      <c r="Z66" s="202">
        <f>Z11+Z34+Z27+Z65</f>
        <v/>
      </c>
      <c r="AA66" s="202">
        <f>AA11+AA34+AA27+AA65</f>
        <v/>
      </c>
      <c r="AB66" s="202">
        <f>AB11+AB34+AB27+AB65</f>
        <v/>
      </c>
      <c r="AC66" s="202">
        <f>AC11+AC34+AC27+AC65</f>
        <v/>
      </c>
      <c r="AD66" s="202">
        <f>AD11+AD34+AD27+AD65</f>
        <v/>
      </c>
      <c r="AE66" s="202">
        <f>AE11+AE34+AE27+AE65</f>
        <v/>
      </c>
      <c r="AF66" s="202">
        <f>AF11+AF34+AF27+AF65</f>
        <v/>
      </c>
      <c r="AG66" s="202">
        <f>AG11+AG34+AG27+AG65</f>
        <v/>
      </c>
      <c r="AH66" s="202">
        <f>AH11+AH34+AH27+AH65</f>
        <v/>
      </c>
      <c r="AI66" s="202">
        <f>AI11+AI34+AI27+AI65</f>
        <v/>
      </c>
      <c r="AJ66" s="202">
        <f>AJ11+AJ34+AJ27+AJ65</f>
        <v/>
      </c>
      <c r="AK66" s="202">
        <f>AK11+AK34+AK27+AK65</f>
        <v/>
      </c>
    </row>
    <row r="67" s="143">
      <c r="A67" s="149" t="inlineStr">
        <is>
          <t>GMV perdu faute d'offre (demande non servie × panier)</t>
        </is>
      </c>
      <c r="B67" s="176">
        <f>B20*B22+B40*B42+B53*B55</f>
        <v/>
      </c>
      <c r="C67" s="176">
        <f>C20*C22+C40*C42+C53*C55</f>
        <v/>
      </c>
      <c r="D67" s="176">
        <f>D20*D22+D40*D42+D53*D55</f>
        <v/>
      </c>
      <c r="E67" s="176">
        <f>E20*E22+E40*E42+E53*E55</f>
        <v/>
      </c>
      <c r="F67" s="176">
        <f>F20*F22+F40*F42+F53*F55</f>
        <v/>
      </c>
      <c r="G67" s="176">
        <f>G20*G22+G40*G42+G53*G55</f>
        <v/>
      </c>
      <c r="H67" s="176">
        <f>H20*H22+H40*H42+H53*H55</f>
        <v/>
      </c>
      <c r="I67" s="176">
        <f>I20*I22+I40*I42+I53*I55</f>
        <v/>
      </c>
      <c r="J67" s="176">
        <f>J20*J22+J40*J42+J53*J55</f>
        <v/>
      </c>
      <c r="K67" s="176">
        <f>K20*K22+K40*K42+K53*K55</f>
        <v/>
      </c>
      <c r="L67" s="176">
        <f>L20*L22+L40*L42+L53*L55</f>
        <v/>
      </c>
      <c r="M67" s="176">
        <f>M20*M22+M40*M42+M53*M55</f>
        <v/>
      </c>
      <c r="N67" s="176">
        <f>N20*N22+N40*N42+N53*N55</f>
        <v/>
      </c>
      <c r="O67" s="176">
        <f>O20*O22+O40*O42+O53*O55</f>
        <v/>
      </c>
      <c r="P67" s="176">
        <f>P20*P22+P40*P42+P53*P55</f>
        <v/>
      </c>
      <c r="Q67" s="176">
        <f>Q20*Q22+Q40*Q42+Q53*Q55</f>
        <v/>
      </c>
      <c r="R67" s="176">
        <f>R20*R22+R40*R42+R53*R55</f>
        <v/>
      </c>
      <c r="S67" s="176">
        <f>S20*S22+S40*S42+S53*S55</f>
        <v/>
      </c>
      <c r="T67" s="176">
        <f>T20*T22+T40*T42+T53*T55</f>
        <v/>
      </c>
      <c r="U67" s="176">
        <f>U20*U22+U40*U42+U53*U55</f>
        <v/>
      </c>
      <c r="V67" s="176">
        <f>V20*V22+V40*V42+V53*V55</f>
        <v/>
      </c>
      <c r="W67" s="176">
        <f>W20*W22+W40*W42+W53*W55</f>
        <v/>
      </c>
      <c r="X67" s="176">
        <f>X20*X22+X40*X42+X53*X55</f>
        <v/>
      </c>
      <c r="Y67" s="176">
        <f>Y20*Y22+Y40*Y42+Y53*Y55</f>
        <v/>
      </c>
      <c r="Z67" s="176">
        <f>Z20*Z22+Z40*Z42+Z53*Z55</f>
        <v/>
      </c>
      <c r="AA67" s="176">
        <f>AA20*AA22+AA40*AA42+AA53*AA55</f>
        <v/>
      </c>
      <c r="AB67" s="176">
        <f>AB20*AB22+AB40*AB42+AB53*AB55</f>
        <v/>
      </c>
      <c r="AC67" s="176">
        <f>AC20*AC22+AC40*AC42+AC53*AC55</f>
        <v/>
      </c>
      <c r="AD67" s="176">
        <f>AD20*AD22+AD40*AD42+AD53*AD55</f>
        <v/>
      </c>
      <c r="AE67" s="176">
        <f>AE20*AE22+AE40*AE42+AE53*AE55</f>
        <v/>
      </c>
      <c r="AF67" s="176">
        <f>AF20*AF22+AF40*AF42+AF53*AF55</f>
        <v/>
      </c>
      <c r="AG67" s="176">
        <f>AG20*AG22+AG40*AG42+AG53*AG55</f>
        <v/>
      </c>
      <c r="AH67" s="176">
        <f>AH20*AH22+AH40*AH42+AH53*AH55</f>
        <v/>
      </c>
      <c r="AI67" s="176">
        <f>AI20*AI22+AI40*AI42+AI53*AI55</f>
        <v/>
      </c>
      <c r="AJ67" s="176">
        <f>AJ20*AJ22+AJ40*AJ42+AJ53*AJ55</f>
        <v/>
      </c>
      <c r="AK67" s="176">
        <f>AK20*AK22+AK40*AK42+AK53*AK55</f>
        <v/>
      </c>
    </row>
    <row r="68" s="143">
      <c r="A68" s="149" t="n"/>
      <c r="B68" s="149" t="n"/>
      <c r="C68" s="149" t="n"/>
      <c r="D68" s="149" t="n"/>
      <c r="E68" s="149" t="n"/>
      <c r="F68" s="149" t="n"/>
      <c r="G68" s="149" t="n"/>
      <c r="H68" s="149" t="n"/>
      <c r="I68" s="149" t="n"/>
      <c r="J68" s="149" t="n"/>
      <c r="K68" s="149" t="n"/>
      <c r="L68" s="149" t="n"/>
      <c r="M68" s="149" t="n"/>
      <c r="N68" s="149" t="n"/>
      <c r="O68" s="149" t="n"/>
      <c r="P68" s="149" t="n"/>
      <c r="Q68" s="149" t="n"/>
      <c r="R68" s="149" t="n"/>
      <c r="S68" s="149" t="n"/>
      <c r="T68" s="149" t="n"/>
      <c r="U68" s="149" t="n"/>
      <c r="V68" s="149" t="n"/>
      <c r="W68" s="149" t="n"/>
      <c r="X68" s="149" t="n"/>
      <c r="Y68" s="149" t="n"/>
      <c r="Z68" s="149" t="n"/>
      <c r="AA68" s="149" t="n"/>
      <c r="AB68" s="149" t="n"/>
      <c r="AC68" s="149" t="n"/>
      <c r="AD68" s="149" t="n"/>
      <c r="AE68" s="149" t="n"/>
      <c r="AF68" s="149" t="n"/>
      <c r="AG68" s="149" t="n"/>
      <c r="AH68" s="149" t="n"/>
      <c r="AI68" s="149" t="n"/>
      <c r="AJ68" s="149" t="n"/>
      <c r="AK68" s="149" t="n"/>
    </row>
    <row r="69" ht="18" customHeight="1" s="143">
      <c r="A69" s="150" t="inlineStr">
        <is>
          <t>EMBAUCHE DU COLLABORATEUR 2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0" t="n"/>
      <c r="J69" s="150" t="n"/>
      <c r="K69" s="150" t="n"/>
      <c r="L69" s="150" t="n"/>
      <c r="M69" s="150" t="n"/>
      <c r="N69" s="150" t="n"/>
      <c r="O69" s="150" t="n"/>
      <c r="P69" s="150" t="n"/>
      <c r="Q69" s="150" t="n"/>
      <c r="R69" s="150" t="n"/>
      <c r="S69" s="150" t="n"/>
      <c r="T69" s="150" t="n"/>
      <c r="U69" s="150" t="n"/>
      <c r="V69" s="150" t="n"/>
      <c r="W69" s="150" t="n"/>
      <c r="X69" s="150" t="n"/>
      <c r="Y69" s="150" t="n"/>
      <c r="Z69" s="150" t="n"/>
      <c r="AA69" s="150" t="n"/>
      <c r="AB69" s="150" t="n"/>
      <c r="AC69" s="150" t="n"/>
      <c r="AD69" s="150" t="n"/>
      <c r="AE69" s="150" t="n"/>
      <c r="AF69" s="150" t="n"/>
      <c r="AG69" s="150" t="n"/>
      <c r="AH69" s="150" t="n"/>
      <c r="AI69" s="150" t="n"/>
      <c r="AJ69" s="150" t="n"/>
      <c r="AK69" s="150" t="n"/>
    </row>
    <row r="70" s="143">
      <c r="A70" s="147" t="inlineStr">
        <is>
          <t>Collaborateur 2 actif (0/1) — déclencheur trésorerie + EBITDA, mois minimum section 14</t>
        </is>
      </c>
      <c r="B70" s="207">
        <f>0</f>
        <v/>
      </c>
      <c r="C70" s="208">
        <f>IF(C$3&lt;Parametres!$D$126,0,IF(B70=1,1,IF(AND(N(C$3&gt;=Parametres!$D$128+1),INDEX(Tresorerie!$C$25:$AM$25,C$3)&gt;Parametres!$D$127,INDEX(Tresorerie!$C$25:$AM$25,C$3-1)&gt;Parametres!$D$127,INDEX(Tresorerie!$C$25:$AM$25,C$3-2)&gt;Parametres!$D$127,IF(Parametres!$D$129=1,INDEX('P&amp;L'!$B$18:$AK$18,C$3-1)&gt;0,TRUE),IF(Parametres!$D$129=1,INDEX('P&amp;L'!$B$18:$AK$18,C$3-2)&gt;0,TRUE),IF(Parametres!$D$129=1,INDEX('P&amp;L'!$B$18:$AK$18,C$3-3)&gt;0,TRUE)),1,0)))</f>
        <v/>
      </c>
      <c r="D70" s="208">
        <f>IF(D$3&lt;Parametres!$D$126,0,IF(C70=1,1,IF(AND(N(D$3&gt;=Parametres!$D$128+1),INDEX(Tresorerie!$C$25:$AM$25,D$3)&gt;Parametres!$D$127,INDEX(Tresorerie!$C$25:$AM$25,D$3-1)&gt;Parametres!$D$127,INDEX(Tresorerie!$C$25:$AM$25,D$3-2)&gt;Parametres!$D$127,IF(Parametres!$D$129=1,INDEX('P&amp;L'!$B$18:$AK$18,D$3-1)&gt;0,TRUE),IF(Parametres!$D$129=1,INDEX('P&amp;L'!$B$18:$AK$18,D$3-2)&gt;0,TRUE),IF(Parametres!$D$129=1,INDEX('P&amp;L'!$B$18:$AK$18,D$3-3)&gt;0,TRUE)),1,0)))</f>
        <v/>
      </c>
      <c r="E70" s="208">
        <f>IF(E$3&lt;Parametres!$D$126,0,IF(D70=1,1,IF(AND(N(E$3&gt;=Parametres!$D$128+1),INDEX(Tresorerie!$C$25:$AM$25,E$3)&gt;Parametres!$D$127,INDEX(Tresorerie!$C$25:$AM$25,E$3-1)&gt;Parametres!$D$127,INDEX(Tresorerie!$C$25:$AM$25,E$3-2)&gt;Parametres!$D$127,IF(Parametres!$D$129=1,INDEX('P&amp;L'!$B$18:$AK$18,E$3-1)&gt;0,TRUE),IF(Parametres!$D$129=1,INDEX('P&amp;L'!$B$18:$AK$18,E$3-2)&gt;0,TRUE),IF(Parametres!$D$129=1,INDEX('P&amp;L'!$B$18:$AK$18,E$3-3)&gt;0,TRUE)),1,0)))</f>
        <v/>
      </c>
      <c r="F70" s="208">
        <f>IF(F$3&lt;Parametres!$D$126,0,IF(E70=1,1,IF(AND(N(F$3&gt;=Parametres!$D$128+1),INDEX(Tresorerie!$C$25:$AM$25,F$3)&gt;Parametres!$D$127,INDEX(Tresorerie!$C$25:$AM$25,F$3-1)&gt;Parametres!$D$127,INDEX(Tresorerie!$C$25:$AM$25,F$3-2)&gt;Parametres!$D$127,IF(Parametres!$D$129=1,INDEX('P&amp;L'!$B$18:$AK$18,F$3-1)&gt;0,TRUE),IF(Parametres!$D$129=1,INDEX('P&amp;L'!$B$18:$AK$18,F$3-2)&gt;0,TRUE),IF(Parametres!$D$129=1,INDEX('P&amp;L'!$B$18:$AK$18,F$3-3)&gt;0,TRUE)),1,0)))</f>
        <v/>
      </c>
      <c r="G70" s="208">
        <f>IF(G$3&lt;Parametres!$D$126,0,IF(F70=1,1,IF(AND(N(G$3&gt;=Parametres!$D$128+1),INDEX(Tresorerie!$C$25:$AM$25,G$3)&gt;Parametres!$D$127,INDEX(Tresorerie!$C$25:$AM$25,G$3-1)&gt;Parametres!$D$127,INDEX(Tresorerie!$C$25:$AM$25,G$3-2)&gt;Parametres!$D$127,IF(Parametres!$D$129=1,INDEX('P&amp;L'!$B$18:$AK$18,G$3-1)&gt;0,TRUE),IF(Parametres!$D$129=1,INDEX('P&amp;L'!$B$18:$AK$18,G$3-2)&gt;0,TRUE),IF(Parametres!$D$129=1,INDEX('P&amp;L'!$B$18:$AK$18,G$3-3)&gt;0,TRUE)),1,0)))</f>
        <v/>
      </c>
      <c r="H70" s="208">
        <f>IF(H$3&lt;Parametres!$D$126,0,IF(G70=1,1,IF(AND(N(H$3&gt;=Parametres!$D$128+1),INDEX(Tresorerie!$C$25:$AM$25,H$3)&gt;Parametres!$D$127,INDEX(Tresorerie!$C$25:$AM$25,H$3-1)&gt;Parametres!$D$127,INDEX(Tresorerie!$C$25:$AM$25,H$3-2)&gt;Parametres!$D$127,IF(Parametres!$D$129=1,INDEX('P&amp;L'!$B$18:$AK$18,H$3-1)&gt;0,TRUE),IF(Parametres!$D$129=1,INDEX('P&amp;L'!$B$18:$AK$18,H$3-2)&gt;0,TRUE),IF(Parametres!$D$129=1,INDEX('P&amp;L'!$B$18:$AK$18,H$3-3)&gt;0,TRUE)),1,0)))</f>
        <v/>
      </c>
      <c r="I70" s="208">
        <f>IF(I$3&lt;Parametres!$D$126,0,IF(H70=1,1,IF(AND(N(I$3&gt;=Parametres!$D$128+1),INDEX(Tresorerie!$C$25:$AM$25,I$3)&gt;Parametres!$D$127,INDEX(Tresorerie!$C$25:$AM$25,I$3-1)&gt;Parametres!$D$127,INDEX(Tresorerie!$C$25:$AM$25,I$3-2)&gt;Parametres!$D$127,IF(Parametres!$D$129=1,INDEX('P&amp;L'!$B$18:$AK$18,I$3-1)&gt;0,TRUE),IF(Parametres!$D$129=1,INDEX('P&amp;L'!$B$18:$AK$18,I$3-2)&gt;0,TRUE),IF(Parametres!$D$129=1,INDEX('P&amp;L'!$B$18:$AK$18,I$3-3)&gt;0,TRUE)),1,0)))</f>
        <v/>
      </c>
      <c r="J70" s="208">
        <f>IF(J$3&lt;Parametres!$D$126,0,IF(I70=1,1,IF(AND(N(J$3&gt;=Parametres!$D$128+1),INDEX(Tresorerie!$C$25:$AM$25,J$3)&gt;Parametres!$D$127,INDEX(Tresorerie!$C$25:$AM$25,J$3-1)&gt;Parametres!$D$127,INDEX(Tresorerie!$C$25:$AM$25,J$3-2)&gt;Parametres!$D$127,IF(Parametres!$D$129=1,INDEX('P&amp;L'!$B$18:$AK$18,J$3-1)&gt;0,TRUE),IF(Parametres!$D$129=1,INDEX('P&amp;L'!$B$18:$AK$18,J$3-2)&gt;0,TRUE),IF(Parametres!$D$129=1,INDEX('P&amp;L'!$B$18:$AK$18,J$3-3)&gt;0,TRUE)),1,0)))</f>
        <v/>
      </c>
      <c r="K70" s="208">
        <f>IF(K$3&lt;Parametres!$D$126,0,IF(J70=1,1,IF(AND(N(K$3&gt;=Parametres!$D$128+1),INDEX(Tresorerie!$C$25:$AM$25,K$3)&gt;Parametres!$D$127,INDEX(Tresorerie!$C$25:$AM$25,K$3-1)&gt;Parametres!$D$127,INDEX(Tresorerie!$C$25:$AM$25,K$3-2)&gt;Parametres!$D$127,IF(Parametres!$D$129=1,INDEX('P&amp;L'!$B$18:$AK$18,K$3-1)&gt;0,TRUE),IF(Parametres!$D$129=1,INDEX('P&amp;L'!$B$18:$AK$18,K$3-2)&gt;0,TRUE),IF(Parametres!$D$129=1,INDEX('P&amp;L'!$B$18:$AK$18,K$3-3)&gt;0,TRUE)),1,0)))</f>
        <v/>
      </c>
      <c r="L70" s="208">
        <f>IF(L$3&lt;Parametres!$D$126,0,IF(K70=1,1,IF(AND(N(L$3&gt;=Parametres!$D$128+1),INDEX(Tresorerie!$C$25:$AM$25,L$3)&gt;Parametres!$D$127,INDEX(Tresorerie!$C$25:$AM$25,L$3-1)&gt;Parametres!$D$127,INDEX(Tresorerie!$C$25:$AM$25,L$3-2)&gt;Parametres!$D$127,IF(Parametres!$D$129=1,INDEX('P&amp;L'!$B$18:$AK$18,L$3-1)&gt;0,TRUE),IF(Parametres!$D$129=1,INDEX('P&amp;L'!$B$18:$AK$18,L$3-2)&gt;0,TRUE),IF(Parametres!$D$129=1,INDEX('P&amp;L'!$B$18:$AK$18,L$3-3)&gt;0,TRUE)),1,0)))</f>
        <v/>
      </c>
      <c r="M70" s="208">
        <f>IF(M$3&lt;Parametres!$D$126,0,IF(L70=1,1,IF(AND(N(M$3&gt;=Parametres!$D$128+1),INDEX(Tresorerie!$C$25:$AM$25,M$3)&gt;Parametres!$D$127,INDEX(Tresorerie!$C$25:$AM$25,M$3-1)&gt;Parametres!$D$127,INDEX(Tresorerie!$C$25:$AM$25,M$3-2)&gt;Parametres!$D$127,IF(Parametres!$D$129=1,INDEX('P&amp;L'!$B$18:$AK$18,M$3-1)&gt;0,TRUE),IF(Parametres!$D$129=1,INDEX('P&amp;L'!$B$18:$AK$18,M$3-2)&gt;0,TRUE),IF(Parametres!$D$129=1,INDEX('P&amp;L'!$B$18:$AK$18,M$3-3)&gt;0,TRUE)),1,0)))</f>
        <v/>
      </c>
      <c r="N70" s="208">
        <f>IF(N$3&lt;Parametres!$D$126,0,IF(M70=1,1,IF(AND(N(N$3&gt;=Parametres!$D$128+1),INDEX(Tresorerie!$C$25:$AM$25,N$3)&gt;Parametres!$D$127,INDEX(Tresorerie!$C$25:$AM$25,N$3-1)&gt;Parametres!$D$127,INDEX(Tresorerie!$C$25:$AM$25,N$3-2)&gt;Parametres!$D$127,IF(Parametres!$D$129=1,INDEX('P&amp;L'!$B$18:$AK$18,N$3-1)&gt;0,TRUE),IF(Parametres!$D$129=1,INDEX('P&amp;L'!$B$18:$AK$18,N$3-2)&gt;0,TRUE),IF(Parametres!$D$129=1,INDEX('P&amp;L'!$B$18:$AK$18,N$3-3)&gt;0,TRUE)),1,0)))</f>
        <v/>
      </c>
      <c r="O70" s="208">
        <f>IF(O$3&lt;Parametres!$D$126,0,IF(N70=1,1,IF(AND(N(O$3&gt;=Parametres!$D$128+1),INDEX(Tresorerie!$C$25:$AM$25,O$3)&gt;Parametres!$D$127,INDEX(Tresorerie!$C$25:$AM$25,O$3-1)&gt;Parametres!$D$127,INDEX(Tresorerie!$C$25:$AM$25,O$3-2)&gt;Parametres!$D$127,IF(Parametres!$D$129=1,INDEX('P&amp;L'!$B$18:$AK$18,O$3-1)&gt;0,TRUE),IF(Parametres!$D$129=1,INDEX('P&amp;L'!$B$18:$AK$18,O$3-2)&gt;0,TRUE),IF(Parametres!$D$129=1,INDEX('P&amp;L'!$B$18:$AK$18,O$3-3)&gt;0,TRUE)),1,0)))</f>
        <v/>
      </c>
      <c r="P70" s="208">
        <f>IF(P$3&lt;Parametres!$D$126,0,IF(O70=1,1,IF(AND(N(P$3&gt;=Parametres!$D$128+1),INDEX(Tresorerie!$C$25:$AM$25,P$3)&gt;Parametres!$D$127,INDEX(Tresorerie!$C$25:$AM$25,P$3-1)&gt;Parametres!$D$127,INDEX(Tresorerie!$C$25:$AM$25,P$3-2)&gt;Parametres!$D$127,IF(Parametres!$D$129=1,INDEX('P&amp;L'!$B$18:$AK$18,P$3-1)&gt;0,TRUE),IF(Parametres!$D$129=1,INDEX('P&amp;L'!$B$18:$AK$18,P$3-2)&gt;0,TRUE),IF(Parametres!$D$129=1,INDEX('P&amp;L'!$B$18:$AK$18,P$3-3)&gt;0,TRUE)),1,0)))</f>
        <v/>
      </c>
      <c r="Q70" s="208">
        <f>IF(Q$3&lt;Parametres!$D$126,0,IF(P70=1,1,IF(AND(N(Q$3&gt;=Parametres!$D$128+1),INDEX(Tresorerie!$C$25:$AM$25,Q$3)&gt;Parametres!$D$127,INDEX(Tresorerie!$C$25:$AM$25,Q$3-1)&gt;Parametres!$D$127,INDEX(Tresorerie!$C$25:$AM$25,Q$3-2)&gt;Parametres!$D$127,IF(Parametres!$D$129=1,INDEX('P&amp;L'!$B$18:$AK$18,Q$3-1)&gt;0,TRUE),IF(Parametres!$D$129=1,INDEX('P&amp;L'!$B$18:$AK$18,Q$3-2)&gt;0,TRUE),IF(Parametres!$D$129=1,INDEX('P&amp;L'!$B$18:$AK$18,Q$3-3)&gt;0,TRUE)),1,0)))</f>
        <v/>
      </c>
      <c r="R70" s="208">
        <f>IF(R$3&lt;Parametres!$D$126,0,IF(Q70=1,1,IF(AND(N(R$3&gt;=Parametres!$D$128+1),INDEX(Tresorerie!$C$25:$AM$25,R$3)&gt;Parametres!$D$127,INDEX(Tresorerie!$C$25:$AM$25,R$3-1)&gt;Parametres!$D$127,INDEX(Tresorerie!$C$25:$AM$25,R$3-2)&gt;Parametres!$D$127,IF(Parametres!$D$129=1,INDEX('P&amp;L'!$B$18:$AK$18,R$3-1)&gt;0,TRUE),IF(Parametres!$D$129=1,INDEX('P&amp;L'!$B$18:$AK$18,R$3-2)&gt;0,TRUE),IF(Parametres!$D$129=1,INDEX('P&amp;L'!$B$18:$AK$18,R$3-3)&gt;0,TRUE)),1,0)))</f>
        <v/>
      </c>
      <c r="S70" s="208">
        <f>IF(S$3&lt;Parametres!$D$126,0,IF(R70=1,1,IF(AND(N(S$3&gt;=Parametres!$D$128+1),INDEX(Tresorerie!$C$25:$AM$25,S$3)&gt;Parametres!$D$127,INDEX(Tresorerie!$C$25:$AM$25,S$3-1)&gt;Parametres!$D$127,INDEX(Tresorerie!$C$25:$AM$25,S$3-2)&gt;Parametres!$D$127,IF(Parametres!$D$129=1,INDEX('P&amp;L'!$B$18:$AK$18,S$3-1)&gt;0,TRUE),IF(Parametres!$D$129=1,INDEX('P&amp;L'!$B$18:$AK$18,S$3-2)&gt;0,TRUE),IF(Parametres!$D$129=1,INDEX('P&amp;L'!$B$18:$AK$18,S$3-3)&gt;0,TRUE)),1,0)))</f>
        <v/>
      </c>
      <c r="T70" s="208">
        <f>IF(T$3&lt;Parametres!$D$126,0,IF(S70=1,1,IF(AND(N(T$3&gt;=Parametres!$D$128+1),INDEX(Tresorerie!$C$25:$AM$25,T$3)&gt;Parametres!$D$127,INDEX(Tresorerie!$C$25:$AM$25,T$3-1)&gt;Parametres!$D$127,INDEX(Tresorerie!$C$25:$AM$25,T$3-2)&gt;Parametres!$D$127,IF(Parametres!$D$129=1,INDEX('P&amp;L'!$B$18:$AK$18,T$3-1)&gt;0,TRUE),IF(Parametres!$D$129=1,INDEX('P&amp;L'!$B$18:$AK$18,T$3-2)&gt;0,TRUE),IF(Parametres!$D$129=1,INDEX('P&amp;L'!$B$18:$AK$18,T$3-3)&gt;0,TRUE)),1,0)))</f>
        <v/>
      </c>
      <c r="U70" s="208">
        <f>IF(U$3&lt;Parametres!$D$126,0,IF(T70=1,1,IF(AND(N(U$3&gt;=Parametres!$D$128+1),INDEX(Tresorerie!$C$25:$AM$25,U$3)&gt;Parametres!$D$127,INDEX(Tresorerie!$C$25:$AM$25,U$3-1)&gt;Parametres!$D$127,INDEX(Tresorerie!$C$25:$AM$25,U$3-2)&gt;Parametres!$D$127,IF(Parametres!$D$129=1,INDEX('P&amp;L'!$B$18:$AK$18,U$3-1)&gt;0,TRUE),IF(Parametres!$D$129=1,INDEX('P&amp;L'!$B$18:$AK$18,U$3-2)&gt;0,TRUE),IF(Parametres!$D$129=1,INDEX('P&amp;L'!$B$18:$AK$18,U$3-3)&gt;0,TRUE)),1,0)))</f>
        <v/>
      </c>
      <c r="V70" s="208">
        <f>IF(V$3&lt;Parametres!$D$126,0,IF(U70=1,1,IF(AND(N(V$3&gt;=Parametres!$D$128+1),INDEX(Tresorerie!$C$25:$AM$25,V$3)&gt;Parametres!$D$127,INDEX(Tresorerie!$C$25:$AM$25,V$3-1)&gt;Parametres!$D$127,INDEX(Tresorerie!$C$25:$AM$25,V$3-2)&gt;Parametres!$D$127,IF(Parametres!$D$129=1,INDEX('P&amp;L'!$B$18:$AK$18,V$3-1)&gt;0,TRUE),IF(Parametres!$D$129=1,INDEX('P&amp;L'!$B$18:$AK$18,V$3-2)&gt;0,TRUE),IF(Parametres!$D$129=1,INDEX('P&amp;L'!$B$18:$AK$18,V$3-3)&gt;0,TRUE)),1,0)))</f>
        <v/>
      </c>
      <c r="W70" s="208">
        <f>IF(W$3&lt;Parametres!$D$126,0,IF(V70=1,1,IF(AND(N(W$3&gt;=Parametres!$D$128+1),INDEX(Tresorerie!$C$25:$AM$25,W$3)&gt;Parametres!$D$127,INDEX(Tresorerie!$C$25:$AM$25,W$3-1)&gt;Parametres!$D$127,INDEX(Tresorerie!$C$25:$AM$25,W$3-2)&gt;Parametres!$D$127,IF(Parametres!$D$129=1,INDEX('P&amp;L'!$B$18:$AK$18,W$3-1)&gt;0,TRUE),IF(Parametres!$D$129=1,INDEX('P&amp;L'!$B$18:$AK$18,W$3-2)&gt;0,TRUE),IF(Parametres!$D$129=1,INDEX('P&amp;L'!$B$18:$AK$18,W$3-3)&gt;0,TRUE)),1,0)))</f>
        <v/>
      </c>
      <c r="X70" s="208">
        <f>IF(X$3&lt;Parametres!$D$126,0,IF(W70=1,1,IF(AND(N(X$3&gt;=Parametres!$D$128+1),INDEX(Tresorerie!$C$25:$AM$25,X$3)&gt;Parametres!$D$127,INDEX(Tresorerie!$C$25:$AM$25,X$3-1)&gt;Parametres!$D$127,INDEX(Tresorerie!$C$25:$AM$25,X$3-2)&gt;Parametres!$D$127,IF(Parametres!$D$129=1,INDEX('P&amp;L'!$B$18:$AK$18,X$3-1)&gt;0,TRUE),IF(Parametres!$D$129=1,INDEX('P&amp;L'!$B$18:$AK$18,X$3-2)&gt;0,TRUE),IF(Parametres!$D$129=1,INDEX('P&amp;L'!$B$18:$AK$18,X$3-3)&gt;0,TRUE)),1,0)))</f>
        <v/>
      </c>
      <c r="Y70" s="208">
        <f>IF(Y$3&lt;Parametres!$D$126,0,IF(X70=1,1,IF(AND(N(Y$3&gt;=Parametres!$D$128+1),INDEX(Tresorerie!$C$25:$AM$25,Y$3)&gt;Parametres!$D$127,INDEX(Tresorerie!$C$25:$AM$25,Y$3-1)&gt;Parametres!$D$127,INDEX(Tresorerie!$C$25:$AM$25,Y$3-2)&gt;Parametres!$D$127,IF(Parametres!$D$129=1,INDEX('P&amp;L'!$B$18:$AK$18,Y$3-1)&gt;0,TRUE),IF(Parametres!$D$129=1,INDEX('P&amp;L'!$B$18:$AK$18,Y$3-2)&gt;0,TRUE),IF(Parametres!$D$129=1,INDEX('P&amp;L'!$B$18:$AK$18,Y$3-3)&gt;0,TRUE)),1,0)))</f>
        <v/>
      </c>
      <c r="Z70" s="208">
        <f>IF(Z$3&lt;Parametres!$D$126,0,IF(Y70=1,1,IF(AND(N(Z$3&gt;=Parametres!$D$128+1),INDEX(Tresorerie!$C$25:$AM$25,Z$3)&gt;Parametres!$D$127,INDEX(Tresorerie!$C$25:$AM$25,Z$3-1)&gt;Parametres!$D$127,INDEX(Tresorerie!$C$25:$AM$25,Z$3-2)&gt;Parametres!$D$127,IF(Parametres!$D$129=1,INDEX('P&amp;L'!$B$18:$AK$18,Z$3-1)&gt;0,TRUE),IF(Parametres!$D$129=1,INDEX('P&amp;L'!$B$18:$AK$18,Z$3-2)&gt;0,TRUE),IF(Parametres!$D$129=1,INDEX('P&amp;L'!$B$18:$AK$18,Z$3-3)&gt;0,TRUE)),1,0)))</f>
        <v/>
      </c>
      <c r="AA70" s="208">
        <f>IF(AA$3&lt;Parametres!$D$126,0,IF(Z70=1,1,IF(AND(N(AA$3&gt;=Parametres!$D$128+1),INDEX(Tresorerie!$C$25:$AM$25,AA$3)&gt;Parametres!$D$127,INDEX(Tresorerie!$C$25:$AM$25,AA$3-1)&gt;Parametres!$D$127,INDEX(Tresorerie!$C$25:$AM$25,AA$3-2)&gt;Parametres!$D$127,IF(Parametres!$D$129=1,INDEX('P&amp;L'!$B$18:$AK$18,AA$3-1)&gt;0,TRUE),IF(Parametres!$D$129=1,INDEX('P&amp;L'!$B$18:$AK$18,AA$3-2)&gt;0,TRUE),IF(Parametres!$D$129=1,INDEX('P&amp;L'!$B$18:$AK$18,AA$3-3)&gt;0,TRUE)),1,0)))</f>
        <v/>
      </c>
      <c r="AB70" s="208">
        <f>IF(AB$3&lt;Parametres!$D$126,0,IF(AA70=1,1,IF(AND(N(AB$3&gt;=Parametres!$D$128+1),INDEX(Tresorerie!$C$25:$AM$25,AB$3)&gt;Parametres!$D$127,INDEX(Tresorerie!$C$25:$AM$25,AB$3-1)&gt;Parametres!$D$127,INDEX(Tresorerie!$C$25:$AM$25,AB$3-2)&gt;Parametres!$D$127,IF(Parametres!$D$129=1,INDEX('P&amp;L'!$B$18:$AK$18,AB$3-1)&gt;0,TRUE),IF(Parametres!$D$129=1,INDEX('P&amp;L'!$B$18:$AK$18,AB$3-2)&gt;0,TRUE),IF(Parametres!$D$129=1,INDEX('P&amp;L'!$B$18:$AK$18,AB$3-3)&gt;0,TRUE)),1,0)))</f>
        <v/>
      </c>
      <c r="AC70" s="208">
        <f>IF(AC$3&lt;Parametres!$D$126,0,IF(AB70=1,1,IF(AND(N(AC$3&gt;=Parametres!$D$128+1),INDEX(Tresorerie!$C$25:$AM$25,AC$3)&gt;Parametres!$D$127,INDEX(Tresorerie!$C$25:$AM$25,AC$3-1)&gt;Parametres!$D$127,INDEX(Tresorerie!$C$25:$AM$25,AC$3-2)&gt;Parametres!$D$127,IF(Parametres!$D$129=1,INDEX('P&amp;L'!$B$18:$AK$18,AC$3-1)&gt;0,TRUE),IF(Parametres!$D$129=1,INDEX('P&amp;L'!$B$18:$AK$18,AC$3-2)&gt;0,TRUE),IF(Parametres!$D$129=1,INDEX('P&amp;L'!$B$18:$AK$18,AC$3-3)&gt;0,TRUE)),1,0)))</f>
        <v/>
      </c>
      <c r="AD70" s="208">
        <f>IF(AD$3&lt;Parametres!$D$126,0,IF(AC70=1,1,IF(AND(N(AD$3&gt;=Parametres!$D$128+1),INDEX(Tresorerie!$C$25:$AM$25,AD$3)&gt;Parametres!$D$127,INDEX(Tresorerie!$C$25:$AM$25,AD$3-1)&gt;Parametres!$D$127,INDEX(Tresorerie!$C$25:$AM$25,AD$3-2)&gt;Parametres!$D$127,IF(Parametres!$D$129=1,INDEX('P&amp;L'!$B$18:$AK$18,AD$3-1)&gt;0,TRUE),IF(Parametres!$D$129=1,INDEX('P&amp;L'!$B$18:$AK$18,AD$3-2)&gt;0,TRUE),IF(Parametres!$D$129=1,INDEX('P&amp;L'!$B$18:$AK$18,AD$3-3)&gt;0,TRUE)),1,0)))</f>
        <v/>
      </c>
      <c r="AE70" s="208">
        <f>IF(AE$3&lt;Parametres!$D$126,0,IF(AD70=1,1,IF(AND(N(AE$3&gt;=Parametres!$D$128+1),INDEX(Tresorerie!$C$25:$AM$25,AE$3)&gt;Parametres!$D$127,INDEX(Tresorerie!$C$25:$AM$25,AE$3-1)&gt;Parametres!$D$127,INDEX(Tresorerie!$C$25:$AM$25,AE$3-2)&gt;Parametres!$D$127,IF(Parametres!$D$129=1,INDEX('P&amp;L'!$B$18:$AK$18,AE$3-1)&gt;0,TRUE),IF(Parametres!$D$129=1,INDEX('P&amp;L'!$B$18:$AK$18,AE$3-2)&gt;0,TRUE),IF(Parametres!$D$129=1,INDEX('P&amp;L'!$B$18:$AK$18,AE$3-3)&gt;0,TRUE)),1,0)))</f>
        <v/>
      </c>
      <c r="AF70" s="208">
        <f>IF(AF$3&lt;Parametres!$D$126,0,IF(AE70=1,1,IF(AND(N(AF$3&gt;=Parametres!$D$128+1),INDEX(Tresorerie!$C$25:$AM$25,AF$3)&gt;Parametres!$D$127,INDEX(Tresorerie!$C$25:$AM$25,AF$3-1)&gt;Parametres!$D$127,INDEX(Tresorerie!$C$25:$AM$25,AF$3-2)&gt;Parametres!$D$127,IF(Parametres!$D$129=1,INDEX('P&amp;L'!$B$18:$AK$18,AF$3-1)&gt;0,TRUE),IF(Parametres!$D$129=1,INDEX('P&amp;L'!$B$18:$AK$18,AF$3-2)&gt;0,TRUE),IF(Parametres!$D$129=1,INDEX('P&amp;L'!$B$18:$AK$18,AF$3-3)&gt;0,TRUE)),1,0)))</f>
        <v/>
      </c>
      <c r="AG70" s="208">
        <f>IF(AG$3&lt;Parametres!$D$126,0,IF(AF70=1,1,IF(AND(N(AG$3&gt;=Parametres!$D$128+1),INDEX(Tresorerie!$C$25:$AM$25,AG$3)&gt;Parametres!$D$127,INDEX(Tresorerie!$C$25:$AM$25,AG$3-1)&gt;Parametres!$D$127,INDEX(Tresorerie!$C$25:$AM$25,AG$3-2)&gt;Parametres!$D$127,IF(Parametres!$D$129=1,INDEX('P&amp;L'!$B$18:$AK$18,AG$3-1)&gt;0,TRUE),IF(Parametres!$D$129=1,INDEX('P&amp;L'!$B$18:$AK$18,AG$3-2)&gt;0,TRUE),IF(Parametres!$D$129=1,INDEX('P&amp;L'!$B$18:$AK$18,AG$3-3)&gt;0,TRUE)),1,0)))</f>
        <v/>
      </c>
      <c r="AH70" s="208">
        <f>IF(AH$3&lt;Parametres!$D$126,0,IF(AG70=1,1,IF(AND(N(AH$3&gt;=Parametres!$D$128+1),INDEX(Tresorerie!$C$25:$AM$25,AH$3)&gt;Parametres!$D$127,INDEX(Tresorerie!$C$25:$AM$25,AH$3-1)&gt;Parametres!$D$127,INDEX(Tresorerie!$C$25:$AM$25,AH$3-2)&gt;Parametres!$D$127,IF(Parametres!$D$129=1,INDEX('P&amp;L'!$B$18:$AK$18,AH$3-1)&gt;0,TRUE),IF(Parametres!$D$129=1,INDEX('P&amp;L'!$B$18:$AK$18,AH$3-2)&gt;0,TRUE),IF(Parametres!$D$129=1,INDEX('P&amp;L'!$B$18:$AK$18,AH$3-3)&gt;0,TRUE)),1,0)))</f>
        <v/>
      </c>
      <c r="AI70" s="208">
        <f>IF(AI$3&lt;Parametres!$D$126,0,IF(AH70=1,1,IF(AND(N(AI$3&gt;=Parametres!$D$128+1),INDEX(Tresorerie!$C$25:$AM$25,AI$3)&gt;Parametres!$D$127,INDEX(Tresorerie!$C$25:$AM$25,AI$3-1)&gt;Parametres!$D$127,INDEX(Tresorerie!$C$25:$AM$25,AI$3-2)&gt;Parametres!$D$127,IF(Parametres!$D$129=1,INDEX('P&amp;L'!$B$18:$AK$18,AI$3-1)&gt;0,TRUE),IF(Parametres!$D$129=1,INDEX('P&amp;L'!$B$18:$AK$18,AI$3-2)&gt;0,TRUE),IF(Parametres!$D$129=1,INDEX('P&amp;L'!$B$18:$AK$18,AI$3-3)&gt;0,TRUE)),1,0)))</f>
        <v/>
      </c>
      <c r="AJ70" s="208">
        <f>IF(AJ$3&lt;Parametres!$D$126,0,IF(AI70=1,1,IF(AND(N(AJ$3&gt;=Parametres!$D$128+1),INDEX(Tresorerie!$C$25:$AM$25,AJ$3)&gt;Parametres!$D$127,INDEX(Tresorerie!$C$25:$AM$25,AJ$3-1)&gt;Parametres!$D$127,INDEX(Tresorerie!$C$25:$AM$25,AJ$3-2)&gt;Parametres!$D$127,IF(Parametres!$D$129=1,INDEX('P&amp;L'!$B$18:$AK$18,AJ$3-1)&gt;0,TRUE),IF(Parametres!$D$129=1,INDEX('P&amp;L'!$B$18:$AK$18,AJ$3-2)&gt;0,TRUE),IF(Parametres!$D$129=1,INDEX('P&amp;L'!$B$18:$AK$18,AJ$3-3)&gt;0,TRUE)),1,0)))</f>
        <v/>
      </c>
      <c r="AK70" s="208">
        <f>IF(AK$3&lt;Parametres!$D$126,0,IF(AJ70=1,1,IF(AND(N(AK$3&gt;=Parametres!$D$128+1),INDEX(Tresorerie!$C$25:$AM$25,AK$3)&gt;Parametres!$D$127,INDEX(Tresorerie!$C$25:$AM$25,AK$3-1)&gt;Parametres!$D$127,INDEX(Tresorerie!$C$25:$AM$25,AK$3-2)&gt;Parametres!$D$127,IF(Parametres!$D$129=1,INDEX('P&amp;L'!$B$18:$AK$18,AK$3-1)&gt;0,TRUE),IF(Parametres!$D$129=1,INDEX('P&amp;L'!$B$18:$AK$18,AK$3-2)&gt;0,TRUE),IF(Parametres!$D$129=1,INDEX('P&amp;L'!$B$18:$AK$18,AK$3-3)&gt;0,TRUE)),1,0)))</f>
        <v/>
      </c>
    </row>
    <row r="71" s="143">
      <c r="A71" s="149" t="n"/>
      <c r="B71" s="149" t="n"/>
      <c r="C71" s="149" t="n"/>
      <c r="D71" s="149" t="n"/>
      <c r="E71" s="149" t="n"/>
      <c r="F71" s="149" t="n"/>
      <c r="G71" s="149" t="n"/>
      <c r="H71" s="149" t="n"/>
      <c r="I71" s="149" t="n"/>
      <c r="J71" s="149" t="n"/>
      <c r="K71" s="149" t="n"/>
      <c r="L71" s="149" t="n"/>
      <c r="M71" s="149" t="n"/>
      <c r="N71" s="149" t="n"/>
      <c r="O71" s="149" t="n"/>
      <c r="P71" s="149" t="n"/>
      <c r="Q71" s="149" t="n"/>
      <c r="R71" s="149" t="n"/>
      <c r="S71" s="149" t="n"/>
      <c r="T71" s="149" t="n"/>
      <c r="U71" s="149" t="n"/>
      <c r="V71" s="149" t="n"/>
      <c r="W71" s="149" t="n"/>
      <c r="X71" s="149" t="n"/>
      <c r="Y71" s="149" t="n"/>
      <c r="Z71" s="149" t="n"/>
      <c r="AA71" s="149" t="n"/>
      <c r="AB71" s="149" t="n"/>
      <c r="AC71" s="149" t="n"/>
      <c r="AD71" s="149" t="n"/>
      <c r="AE71" s="149" t="n"/>
      <c r="AF71" s="149" t="n"/>
      <c r="AG71" s="149" t="n"/>
      <c r="AH71" s="149" t="n"/>
      <c r="AI71" s="149" t="n"/>
      <c r="AJ71" s="149" t="n"/>
      <c r="AK71" s="149" t="n"/>
    </row>
    <row r="72" s="143">
      <c r="A72" s="149" t="n"/>
      <c r="B72" s="149" t="n"/>
      <c r="C72" s="149" t="n"/>
      <c r="D72" s="149" t="n"/>
      <c r="E72" s="149" t="n"/>
      <c r="F72" s="149" t="n"/>
      <c r="G72" s="149" t="n"/>
      <c r="H72" s="149" t="n"/>
      <c r="I72" s="149" t="n"/>
      <c r="J72" s="149" t="n"/>
      <c r="K72" s="149" t="n"/>
      <c r="L72" s="149" t="n"/>
      <c r="M72" s="149" t="n"/>
      <c r="N72" s="149" t="n"/>
      <c r="O72" s="149" t="n"/>
      <c r="P72" s="149" t="n"/>
      <c r="Q72" s="149" t="n"/>
      <c r="R72" s="149" t="n"/>
      <c r="S72" s="149" t="n"/>
      <c r="T72" s="149" t="n"/>
      <c r="U72" s="149" t="n"/>
      <c r="V72" s="149" t="n"/>
      <c r="W72" s="149" t="n"/>
      <c r="X72" s="149" t="n"/>
      <c r="Y72" s="149" t="n"/>
      <c r="Z72" s="149" t="n"/>
      <c r="AA72" s="149" t="n"/>
      <c r="AB72" s="149" t="n"/>
      <c r="AC72" s="149" t="n"/>
      <c r="AD72" s="149" t="n"/>
      <c r="AE72" s="149" t="n"/>
      <c r="AF72" s="149" t="n"/>
      <c r="AG72" s="149" t="n"/>
      <c r="AH72" s="149" t="n"/>
      <c r="AI72" s="149" t="n"/>
      <c r="AJ72" s="149" t="n"/>
      <c r="AK72" s="149" t="n"/>
    </row>
    <row r="73" s="143">
      <c r="A73" s="149" t="n"/>
      <c r="B73" s="149" t="n"/>
      <c r="C73" s="149" t="n"/>
      <c r="D73" s="149" t="n"/>
      <c r="E73" s="149" t="n"/>
      <c r="F73" s="149" t="n"/>
      <c r="G73" s="149" t="n"/>
      <c r="H73" s="149" t="n"/>
      <c r="I73" s="149" t="n"/>
      <c r="J73" s="149" t="n"/>
      <c r="K73" s="149" t="n"/>
      <c r="L73" s="149" t="n"/>
      <c r="M73" s="149" t="n"/>
      <c r="N73" s="149" t="n"/>
      <c r="O73" s="149" t="n"/>
      <c r="P73" s="149" t="n"/>
      <c r="Q73" s="149" t="n"/>
      <c r="R73" s="149" t="n"/>
      <c r="S73" s="149" t="n"/>
      <c r="T73" s="149" t="n"/>
      <c r="U73" s="149" t="n"/>
      <c r="V73" s="149" t="n"/>
      <c r="W73" s="149" t="n"/>
      <c r="X73" s="149" t="n"/>
      <c r="Y73" s="149" t="n"/>
      <c r="Z73" s="149" t="n"/>
      <c r="AA73" s="149" t="n"/>
      <c r="AB73" s="149" t="n"/>
      <c r="AC73" s="149" t="n"/>
      <c r="AD73" s="149" t="n"/>
      <c r="AE73" s="149" t="n"/>
      <c r="AF73" s="149" t="n"/>
      <c r="AG73" s="149" t="n"/>
      <c r="AH73" s="149" t="n"/>
      <c r="AI73" s="149" t="n"/>
      <c r="AJ73" s="149" t="n"/>
      <c r="AK73" s="149" t="n"/>
    </row>
    <row r="74" s="143">
      <c r="A74" s="149" t="n"/>
      <c r="B74" s="149" t="n"/>
      <c r="C74" s="149" t="n"/>
      <c r="D74" s="149" t="n"/>
      <c r="E74" s="149" t="n"/>
      <c r="F74" s="149" t="n"/>
      <c r="G74" s="149" t="n"/>
      <c r="H74" s="149" t="n"/>
      <c r="I74" s="149" t="n"/>
      <c r="J74" s="149" t="n"/>
      <c r="K74" s="149" t="n"/>
      <c r="L74" s="149" t="n"/>
      <c r="M74" s="149" t="n"/>
      <c r="N74" s="149" t="n"/>
      <c r="O74" s="149" t="n"/>
      <c r="P74" s="149" t="n"/>
      <c r="Q74" s="149" t="n"/>
      <c r="R74" s="149" t="n"/>
      <c r="S74" s="149" t="n"/>
      <c r="T74" s="149" t="n"/>
      <c r="U74" s="149" t="n"/>
      <c r="V74" s="149" t="n"/>
      <c r="W74" s="149" t="n"/>
      <c r="X74" s="149" t="n"/>
      <c r="Y74" s="149" t="n"/>
      <c r="Z74" s="149" t="n"/>
      <c r="AA74" s="149" t="n"/>
      <c r="AB74" s="149" t="n"/>
      <c r="AC74" s="149" t="n"/>
      <c r="AD74" s="149" t="n"/>
      <c r="AE74" s="149" t="n"/>
      <c r="AF74" s="149" t="n"/>
      <c r="AG74" s="149" t="n"/>
      <c r="AH74" s="149" t="n"/>
      <c r="AI74" s="149" t="n"/>
      <c r="AJ74" s="149" t="n"/>
      <c r="AK74" s="149" t="n"/>
    </row>
    <row r="75" s="143">
      <c r="A75" s="149" t="n"/>
      <c r="B75" s="149" t="n"/>
      <c r="C75" s="149" t="n"/>
      <c r="D75" s="149" t="n"/>
      <c r="E75" s="149" t="n"/>
      <c r="F75" s="149" t="n"/>
      <c r="G75" s="149" t="n"/>
      <c r="H75" s="149" t="n"/>
      <c r="I75" s="149" t="n"/>
      <c r="J75" s="149" t="n"/>
      <c r="K75" s="149" t="n"/>
      <c r="L75" s="149" t="n"/>
      <c r="M75" s="149" t="n"/>
      <c r="N75" s="149" t="n"/>
      <c r="O75" s="149" t="n"/>
      <c r="P75" s="149" t="n"/>
      <c r="Q75" s="149" t="n"/>
      <c r="R75" s="149" t="n"/>
      <c r="S75" s="149" t="n"/>
      <c r="T75" s="149" t="n"/>
      <c r="U75" s="149" t="n"/>
      <c r="V75" s="149" t="n"/>
      <c r="W75" s="149" t="n"/>
      <c r="X75" s="149" t="n"/>
      <c r="Y75" s="149" t="n"/>
      <c r="Z75" s="149" t="n"/>
      <c r="AA75" s="149" t="n"/>
      <c r="AB75" s="149" t="n"/>
      <c r="AC75" s="149" t="n"/>
      <c r="AD75" s="149" t="n"/>
      <c r="AE75" s="149" t="n"/>
      <c r="AF75" s="149" t="n"/>
      <c r="AG75" s="149" t="n"/>
      <c r="AH75" s="149" t="n"/>
      <c r="AI75" s="149" t="n"/>
      <c r="AJ75" s="149" t="n"/>
      <c r="AK75" s="149" t="n"/>
    </row>
    <row r="76" s="143">
      <c r="A76" s="149" t="n"/>
      <c r="B76" s="149" t="n"/>
      <c r="C76" s="149" t="n"/>
      <c r="D76" s="149" t="n"/>
      <c r="E76" s="149" t="n"/>
      <c r="F76" s="149" t="n"/>
      <c r="G76" s="149" t="n"/>
      <c r="H76" s="149" t="n"/>
      <c r="I76" s="149" t="n"/>
      <c r="J76" s="149" t="n"/>
      <c r="K76" s="149" t="n"/>
      <c r="L76" s="149" t="n"/>
      <c r="M76" s="149" t="n"/>
      <c r="N76" s="149" t="n"/>
      <c r="O76" s="149" t="n"/>
      <c r="P76" s="149" t="n"/>
      <c r="Q76" s="149" t="n"/>
      <c r="R76" s="149" t="n"/>
      <c r="S76" s="149" t="n"/>
      <c r="T76" s="149" t="n"/>
      <c r="U76" s="149" t="n"/>
      <c r="V76" s="149" t="n"/>
      <c r="W76" s="149" t="n"/>
      <c r="X76" s="149" t="n"/>
      <c r="Y76" s="149" t="n"/>
      <c r="Z76" s="149" t="n"/>
      <c r="AA76" s="149" t="n"/>
      <c r="AB76" s="149" t="n"/>
      <c r="AC76" s="149" t="n"/>
      <c r="AD76" s="149" t="n"/>
      <c r="AE76" s="149" t="n"/>
      <c r="AF76" s="149" t="n"/>
      <c r="AG76" s="149" t="n"/>
      <c r="AH76" s="149" t="n"/>
      <c r="AI76" s="149" t="n"/>
      <c r="AJ76" s="149" t="n"/>
      <c r="AK76" s="149" t="n"/>
    </row>
    <row r="77" s="143">
      <c r="A77" s="149" t="n"/>
      <c r="B77" s="149" t="n"/>
      <c r="C77" s="149" t="n"/>
      <c r="D77" s="149" t="n"/>
      <c r="E77" s="149" t="n"/>
      <c r="F77" s="149" t="n"/>
      <c r="G77" s="149" t="n"/>
      <c r="H77" s="149" t="n"/>
      <c r="I77" s="149" t="n"/>
      <c r="J77" s="149" t="n"/>
      <c r="K77" s="149" t="n"/>
      <c r="L77" s="149" t="n"/>
      <c r="M77" s="149" t="n"/>
      <c r="N77" s="149" t="n"/>
      <c r="O77" s="149" t="n"/>
      <c r="P77" s="149" t="n"/>
      <c r="Q77" s="149" t="n"/>
      <c r="R77" s="149" t="n"/>
      <c r="S77" s="149" t="n"/>
      <c r="T77" s="149" t="n"/>
      <c r="U77" s="149" t="n"/>
      <c r="V77" s="149" t="n"/>
      <c r="W77" s="149" t="n"/>
      <c r="X77" s="149" t="n"/>
      <c r="Y77" s="149" t="n"/>
      <c r="Z77" s="149" t="n"/>
      <c r="AA77" s="149" t="n"/>
      <c r="AB77" s="149" t="n"/>
      <c r="AC77" s="149" t="n"/>
      <c r="AD77" s="149" t="n"/>
      <c r="AE77" s="149" t="n"/>
      <c r="AF77" s="149" t="n"/>
      <c r="AG77" s="149" t="n"/>
      <c r="AH77" s="149" t="n"/>
      <c r="AI77" s="149" t="n"/>
      <c r="AJ77" s="149" t="n"/>
      <c r="AK77" s="149" t="n"/>
    </row>
    <row r="78" s="143">
      <c r="A78" s="149" t="n"/>
      <c r="B78" s="149" t="n"/>
      <c r="C78" s="149" t="n"/>
      <c r="D78" s="149" t="n"/>
      <c r="E78" s="149" t="n"/>
      <c r="F78" s="149" t="n"/>
      <c r="G78" s="149" t="n"/>
      <c r="H78" s="149" t="n"/>
      <c r="I78" s="149" t="n"/>
      <c r="J78" s="149" t="n"/>
      <c r="K78" s="149" t="n"/>
      <c r="L78" s="149" t="n"/>
      <c r="M78" s="149" t="n"/>
      <c r="N78" s="149" t="n"/>
      <c r="O78" s="149" t="n"/>
      <c r="P78" s="149" t="n"/>
      <c r="Q78" s="149" t="n"/>
      <c r="R78" s="149" t="n"/>
      <c r="S78" s="149" t="n"/>
      <c r="T78" s="149" t="n"/>
      <c r="U78" s="149" t="n"/>
      <c r="V78" s="149" t="n"/>
      <c r="W78" s="149" t="n"/>
      <c r="X78" s="149" t="n"/>
      <c r="Y78" s="149" t="n"/>
      <c r="Z78" s="149" t="n"/>
      <c r="AA78" s="149" t="n"/>
      <c r="AB78" s="149" t="n"/>
      <c r="AC78" s="149" t="n"/>
      <c r="AD78" s="149" t="n"/>
      <c r="AE78" s="149" t="n"/>
      <c r="AF78" s="149" t="n"/>
      <c r="AG78" s="149" t="n"/>
      <c r="AH78" s="149" t="n"/>
      <c r="AI78" s="149" t="n"/>
      <c r="AJ78" s="149" t="n"/>
      <c r="AK78" s="149" t="n"/>
    </row>
    <row r="79" s="143">
      <c r="A79" s="149" t="n"/>
      <c r="B79" s="149" t="n"/>
      <c r="C79" s="149" t="n"/>
      <c r="D79" s="149" t="n"/>
      <c r="E79" s="149" t="n"/>
      <c r="F79" s="149" t="n"/>
      <c r="G79" s="149" t="n"/>
      <c r="H79" s="149" t="n"/>
      <c r="I79" s="149" t="n"/>
      <c r="J79" s="149" t="n"/>
      <c r="K79" s="149" t="n"/>
      <c r="L79" s="149" t="n"/>
      <c r="M79" s="149" t="n"/>
      <c r="N79" s="149" t="n"/>
      <c r="O79" s="149" t="n"/>
      <c r="P79" s="149" t="n"/>
      <c r="Q79" s="149" t="n"/>
      <c r="R79" s="149" t="n"/>
      <c r="S79" s="149" t="n"/>
      <c r="T79" s="149" t="n"/>
      <c r="U79" s="149" t="n"/>
      <c r="V79" s="149" t="n"/>
      <c r="W79" s="149" t="n"/>
      <c r="X79" s="149" t="n"/>
      <c r="Y79" s="149" t="n"/>
      <c r="Z79" s="149" t="n"/>
      <c r="AA79" s="149" t="n"/>
      <c r="AB79" s="149" t="n"/>
      <c r="AC79" s="149" t="n"/>
      <c r="AD79" s="149" t="n"/>
      <c r="AE79" s="149" t="n"/>
      <c r="AF79" s="149" t="n"/>
      <c r="AG79" s="149" t="n"/>
      <c r="AH79" s="149" t="n"/>
      <c r="AI79" s="149" t="n"/>
      <c r="AJ79" s="149" t="n"/>
      <c r="AK79" s="149" t="n"/>
    </row>
    <row r="80" s="143">
      <c r="A80" s="149" t="n"/>
      <c r="B80" s="149" t="n"/>
      <c r="C80" s="149" t="n"/>
      <c r="D80" s="149" t="n"/>
      <c r="E80" s="149" t="n"/>
      <c r="F80" s="149" t="n"/>
      <c r="G80" s="149" t="n"/>
      <c r="H80" s="149" t="n"/>
      <c r="I80" s="149" t="n"/>
      <c r="J80" s="149" t="n"/>
      <c r="K80" s="149" t="n"/>
      <c r="L80" s="149" t="n"/>
      <c r="M80" s="149" t="n"/>
      <c r="N80" s="149" t="n"/>
      <c r="O80" s="149" t="n"/>
      <c r="P80" s="149" t="n"/>
      <c r="Q80" s="149" t="n"/>
      <c r="R80" s="149" t="n"/>
      <c r="S80" s="149" t="n"/>
      <c r="T80" s="149" t="n"/>
      <c r="U80" s="149" t="n"/>
      <c r="V80" s="149" t="n"/>
      <c r="W80" s="149" t="n"/>
      <c r="X80" s="149" t="n"/>
      <c r="Y80" s="149" t="n"/>
      <c r="Z80" s="149" t="n"/>
      <c r="AA80" s="149" t="n"/>
      <c r="AB80" s="149" t="n"/>
      <c r="AC80" s="149" t="n"/>
      <c r="AD80" s="149" t="n"/>
      <c r="AE80" s="149" t="n"/>
      <c r="AF80" s="149" t="n"/>
      <c r="AG80" s="149" t="n"/>
      <c r="AH80" s="149" t="n"/>
      <c r="AI80" s="149" t="n"/>
      <c r="AJ80" s="149" t="n"/>
      <c r="AK80" s="149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2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C26" sqref="C26"/>
    </sheetView>
  </sheetViews>
  <sheetFormatPr baseColWidth="10" defaultColWidth="8.83203125" defaultRowHeight="15"/>
  <cols>
    <col width="62" customWidth="1" style="143" min="1" max="1"/>
    <col width="12" customWidth="1" style="143" min="2" max="37"/>
  </cols>
  <sheetData>
    <row r="1" ht="22" customHeight="1" s="143">
      <c r="A1" s="142" t="inlineStr">
        <is>
          <t>CASCADE DE CONTRIBUTION — coûts variables suivant le volume (MGA)</t>
        </is>
      </c>
    </row>
    <row r="2">
      <c r="A2" s="68" t="inlineStr">
        <is>
          <t>Année</t>
        </is>
      </c>
      <c r="B2" s="68">
        <f>'P&amp;L'!B2</f>
        <v/>
      </c>
      <c r="C2" s="68">
        <f>'P&amp;L'!C2</f>
        <v/>
      </c>
      <c r="D2" s="68">
        <f>'P&amp;L'!D2</f>
        <v/>
      </c>
      <c r="E2" s="68">
        <f>'P&amp;L'!E2</f>
        <v/>
      </c>
      <c r="F2" s="68">
        <f>'P&amp;L'!F2</f>
        <v/>
      </c>
      <c r="G2" s="68">
        <f>'P&amp;L'!G2</f>
        <v/>
      </c>
      <c r="H2" s="68">
        <f>'P&amp;L'!H2</f>
        <v/>
      </c>
      <c r="I2" s="68">
        <f>'P&amp;L'!I2</f>
        <v/>
      </c>
      <c r="J2" s="68">
        <f>'P&amp;L'!J2</f>
        <v/>
      </c>
      <c r="K2" s="68">
        <f>'P&amp;L'!K2</f>
        <v/>
      </c>
      <c r="L2" s="68">
        <f>'P&amp;L'!L2</f>
        <v/>
      </c>
      <c r="M2" s="68">
        <f>'P&amp;L'!M2</f>
        <v/>
      </c>
      <c r="N2" s="68">
        <f>'P&amp;L'!N2</f>
        <v/>
      </c>
      <c r="O2" s="68">
        <f>'P&amp;L'!O2</f>
        <v/>
      </c>
      <c r="P2" s="68">
        <f>'P&amp;L'!P2</f>
        <v/>
      </c>
      <c r="Q2" s="68">
        <f>'P&amp;L'!Q2</f>
        <v/>
      </c>
      <c r="R2" s="68">
        <f>'P&amp;L'!R2</f>
        <v/>
      </c>
      <c r="S2" s="68">
        <f>'P&amp;L'!S2</f>
        <v/>
      </c>
      <c r="T2" s="68">
        <f>'P&amp;L'!T2</f>
        <v/>
      </c>
      <c r="U2" s="68">
        <f>'P&amp;L'!U2</f>
        <v/>
      </c>
      <c r="V2" s="68">
        <f>'P&amp;L'!V2</f>
        <v/>
      </c>
      <c r="W2" s="68">
        <f>'P&amp;L'!W2</f>
        <v/>
      </c>
      <c r="X2" s="68">
        <f>'P&amp;L'!X2</f>
        <v/>
      </c>
      <c r="Y2" s="68">
        <f>'P&amp;L'!Y2</f>
        <v/>
      </c>
      <c r="Z2" s="68">
        <f>'P&amp;L'!Z2</f>
        <v/>
      </c>
      <c r="AA2" s="68">
        <f>'P&amp;L'!AA2</f>
        <v/>
      </c>
      <c r="AB2" s="68">
        <f>'P&amp;L'!AB2</f>
        <v/>
      </c>
      <c r="AC2" s="68">
        <f>'P&amp;L'!AC2</f>
        <v/>
      </c>
      <c r="AD2" s="68">
        <f>'P&amp;L'!AD2</f>
        <v/>
      </c>
      <c r="AE2" s="68">
        <f>'P&amp;L'!AE2</f>
        <v/>
      </c>
      <c r="AF2" s="68">
        <f>'P&amp;L'!AF2</f>
        <v/>
      </c>
      <c r="AG2" s="68">
        <f>'P&amp;L'!AG2</f>
        <v/>
      </c>
      <c r="AH2" s="68">
        <f>'P&amp;L'!AH2</f>
        <v/>
      </c>
      <c r="AI2" s="68">
        <f>'P&amp;L'!AI2</f>
        <v/>
      </c>
      <c r="AJ2" s="68">
        <f>'P&amp;L'!AJ2</f>
        <v/>
      </c>
      <c r="AK2" s="68">
        <f>'P&amp;L'!AK2</f>
        <v/>
      </c>
    </row>
    <row r="3">
      <c r="A3" s="68" t="inlineStr">
        <is>
          <t>Mois</t>
        </is>
      </c>
      <c r="B3" s="68">
        <f>'P&amp;L'!B3</f>
        <v/>
      </c>
      <c r="C3" s="68">
        <f>'P&amp;L'!C3</f>
        <v/>
      </c>
      <c r="D3" s="68">
        <f>'P&amp;L'!D3</f>
        <v/>
      </c>
      <c r="E3" s="68">
        <f>'P&amp;L'!E3</f>
        <v/>
      </c>
      <c r="F3" s="68">
        <f>'P&amp;L'!F3</f>
        <v/>
      </c>
      <c r="G3" s="68">
        <f>'P&amp;L'!G3</f>
        <v/>
      </c>
      <c r="H3" s="68">
        <f>'P&amp;L'!H3</f>
        <v/>
      </c>
      <c r="I3" s="68">
        <f>'P&amp;L'!I3</f>
        <v/>
      </c>
      <c r="J3" s="68">
        <f>'P&amp;L'!J3</f>
        <v/>
      </c>
      <c r="K3" s="68">
        <f>'P&amp;L'!K3</f>
        <v/>
      </c>
      <c r="L3" s="68">
        <f>'P&amp;L'!L3</f>
        <v/>
      </c>
      <c r="M3" s="68">
        <f>'P&amp;L'!M3</f>
        <v/>
      </c>
      <c r="N3" s="68">
        <f>'P&amp;L'!N3</f>
        <v/>
      </c>
      <c r="O3" s="68">
        <f>'P&amp;L'!O3</f>
        <v/>
      </c>
      <c r="P3" s="68">
        <f>'P&amp;L'!P3</f>
        <v/>
      </c>
      <c r="Q3" s="68">
        <f>'P&amp;L'!Q3</f>
        <v/>
      </c>
      <c r="R3" s="68">
        <f>'P&amp;L'!R3</f>
        <v/>
      </c>
      <c r="S3" s="68">
        <f>'P&amp;L'!S3</f>
        <v/>
      </c>
      <c r="T3" s="68">
        <f>'P&amp;L'!T3</f>
        <v/>
      </c>
      <c r="U3" s="68">
        <f>'P&amp;L'!U3</f>
        <v/>
      </c>
      <c r="V3" s="68">
        <f>'P&amp;L'!V3</f>
        <v/>
      </c>
      <c r="W3" s="68">
        <f>'P&amp;L'!W3</f>
        <v/>
      </c>
      <c r="X3" s="68">
        <f>'P&amp;L'!X3</f>
        <v/>
      </c>
      <c r="Y3" s="68">
        <f>'P&amp;L'!Y3</f>
        <v/>
      </c>
      <c r="Z3" s="68">
        <f>'P&amp;L'!Z3</f>
        <v/>
      </c>
      <c r="AA3" s="68">
        <f>'P&amp;L'!AA3</f>
        <v/>
      </c>
      <c r="AB3" s="68">
        <f>'P&amp;L'!AB3</f>
        <v/>
      </c>
      <c r="AC3" s="68">
        <f>'P&amp;L'!AC3</f>
        <v/>
      </c>
      <c r="AD3" s="68">
        <f>'P&amp;L'!AD3</f>
        <v/>
      </c>
      <c r="AE3" s="68">
        <f>'P&amp;L'!AE3</f>
        <v/>
      </c>
      <c r="AF3" s="68">
        <f>'P&amp;L'!AF3</f>
        <v/>
      </c>
      <c r="AG3" s="68">
        <f>'P&amp;L'!AG3</f>
        <v/>
      </c>
      <c r="AH3" s="68">
        <f>'P&amp;L'!AH3</f>
        <v/>
      </c>
      <c r="AI3" s="68">
        <f>'P&amp;L'!AI3</f>
        <v/>
      </c>
      <c r="AJ3" s="68">
        <f>'P&amp;L'!AJ3</f>
        <v/>
      </c>
      <c r="AK3" s="68">
        <f>'P&amp;L'!AK3</f>
        <v/>
      </c>
    </row>
    <row r="5">
      <c r="A5" s="84" t="inlineStr">
        <is>
          <t>Chiffre d'affaires (IFRS 15)</t>
        </is>
      </c>
      <c r="B5" s="209">
        <f>'P&amp;L'!B5</f>
        <v/>
      </c>
      <c r="C5" s="209">
        <f>'P&amp;L'!C5</f>
        <v/>
      </c>
      <c r="D5" s="209">
        <f>'P&amp;L'!D5</f>
        <v/>
      </c>
      <c r="E5" s="209">
        <f>'P&amp;L'!E5</f>
        <v/>
      </c>
      <c r="F5" s="209">
        <f>'P&amp;L'!F5</f>
        <v/>
      </c>
      <c r="G5" s="209">
        <f>'P&amp;L'!G5</f>
        <v/>
      </c>
      <c r="H5" s="209">
        <f>'P&amp;L'!H5</f>
        <v/>
      </c>
      <c r="I5" s="209">
        <f>'P&amp;L'!I5</f>
        <v/>
      </c>
      <c r="J5" s="209">
        <f>'P&amp;L'!J5</f>
        <v/>
      </c>
      <c r="K5" s="209">
        <f>'P&amp;L'!K5</f>
        <v/>
      </c>
      <c r="L5" s="209">
        <f>'P&amp;L'!L5</f>
        <v/>
      </c>
      <c r="M5" s="209">
        <f>'P&amp;L'!M5</f>
        <v/>
      </c>
      <c r="N5" s="209">
        <f>'P&amp;L'!N5</f>
        <v/>
      </c>
      <c r="O5" s="209">
        <f>'P&amp;L'!O5</f>
        <v/>
      </c>
      <c r="P5" s="209">
        <f>'P&amp;L'!P5</f>
        <v/>
      </c>
      <c r="Q5" s="209">
        <f>'P&amp;L'!Q5</f>
        <v/>
      </c>
      <c r="R5" s="209">
        <f>'P&amp;L'!R5</f>
        <v/>
      </c>
      <c r="S5" s="209">
        <f>'P&amp;L'!S5</f>
        <v/>
      </c>
      <c r="T5" s="209">
        <f>'P&amp;L'!T5</f>
        <v/>
      </c>
      <c r="U5" s="209">
        <f>'P&amp;L'!U5</f>
        <v/>
      </c>
      <c r="V5" s="209">
        <f>'P&amp;L'!V5</f>
        <v/>
      </c>
      <c r="W5" s="209">
        <f>'P&amp;L'!W5</f>
        <v/>
      </c>
      <c r="X5" s="209">
        <f>'P&amp;L'!X5</f>
        <v/>
      </c>
      <c r="Y5" s="209">
        <f>'P&amp;L'!Y5</f>
        <v/>
      </c>
      <c r="Z5" s="209">
        <f>'P&amp;L'!Z5</f>
        <v/>
      </c>
      <c r="AA5" s="209">
        <f>'P&amp;L'!AA5</f>
        <v/>
      </c>
      <c r="AB5" s="209">
        <f>'P&amp;L'!AB5</f>
        <v/>
      </c>
      <c r="AC5" s="209">
        <f>'P&amp;L'!AC5</f>
        <v/>
      </c>
      <c r="AD5" s="209">
        <f>'P&amp;L'!AD5</f>
        <v/>
      </c>
      <c r="AE5" s="209">
        <f>'P&amp;L'!AE5</f>
        <v/>
      </c>
      <c r="AF5" s="209">
        <f>'P&amp;L'!AF5</f>
        <v/>
      </c>
      <c r="AG5" s="209">
        <f>'P&amp;L'!AG5</f>
        <v/>
      </c>
      <c r="AH5" s="209">
        <f>'P&amp;L'!AH5</f>
        <v/>
      </c>
      <c r="AI5" s="209">
        <f>'P&amp;L'!AI5</f>
        <v/>
      </c>
      <c r="AJ5" s="209">
        <f>'P&amp;L'!AJ5</f>
        <v/>
      </c>
      <c r="AK5" s="209">
        <f>'P&amp;L'!AK5</f>
        <v/>
      </c>
    </row>
    <row r="6">
      <c r="A6" s="84" t="inlineStr">
        <is>
          <t>dont MM 3 % (abo Ampio+ + GMV, hors vidéo)</t>
        </is>
      </c>
      <c r="B6" s="210">
        <f>-('Plan ventes'!B17+'Plan ventes'!B23+'Plan ventes'!B43+'Plan ventes'!B56)*Parametres!$D$105</f>
        <v/>
      </c>
      <c r="C6" s="210">
        <f>-('Plan ventes'!C17+'Plan ventes'!C23+'Plan ventes'!C43+'Plan ventes'!C56)*Parametres!$D$105</f>
        <v/>
      </c>
      <c r="D6" s="210">
        <f>-('Plan ventes'!D17+'Plan ventes'!D23+'Plan ventes'!D43+'Plan ventes'!D56)*Parametres!$D$105</f>
        <v/>
      </c>
      <c r="E6" s="210">
        <f>-('Plan ventes'!E17+'Plan ventes'!E23+'Plan ventes'!E43+'Plan ventes'!E56)*Parametres!$D$105</f>
        <v/>
      </c>
      <c r="F6" s="210">
        <f>-('Plan ventes'!F17+'Plan ventes'!F23+'Plan ventes'!F43+'Plan ventes'!F56)*Parametres!$D$105</f>
        <v/>
      </c>
      <c r="G6" s="210">
        <f>-('Plan ventes'!G17+'Plan ventes'!G23+'Plan ventes'!G43+'Plan ventes'!G56)*Parametres!$D$105</f>
        <v/>
      </c>
      <c r="H6" s="210">
        <f>-('Plan ventes'!H17+'Plan ventes'!H23+'Plan ventes'!H43+'Plan ventes'!H56)*Parametres!$D$105</f>
        <v/>
      </c>
      <c r="I6" s="210">
        <f>-('Plan ventes'!I17+'Plan ventes'!I23+'Plan ventes'!I43+'Plan ventes'!I56)*Parametres!$D$105</f>
        <v/>
      </c>
      <c r="J6" s="210">
        <f>-('Plan ventes'!J17+'Plan ventes'!J23+'Plan ventes'!J43+'Plan ventes'!J56)*Parametres!$D$105</f>
        <v/>
      </c>
      <c r="K6" s="210">
        <f>-('Plan ventes'!K17+'Plan ventes'!K23+'Plan ventes'!K43+'Plan ventes'!K56)*Parametres!$D$105</f>
        <v/>
      </c>
      <c r="L6" s="210">
        <f>-('Plan ventes'!L17+'Plan ventes'!L23+'Plan ventes'!L43+'Plan ventes'!L56)*Parametres!$D$105</f>
        <v/>
      </c>
      <c r="M6" s="210">
        <f>-('Plan ventes'!M17+'Plan ventes'!M23+'Plan ventes'!M43+'Plan ventes'!M56)*Parametres!$D$105</f>
        <v/>
      </c>
      <c r="N6" s="210">
        <f>-('Plan ventes'!N17+'Plan ventes'!N23+'Plan ventes'!N43+'Plan ventes'!N56)*Parametres!$D$105</f>
        <v/>
      </c>
      <c r="O6" s="210">
        <f>-('Plan ventes'!O17+'Plan ventes'!O23+'Plan ventes'!O43+'Plan ventes'!O56)*Parametres!$D$105</f>
        <v/>
      </c>
      <c r="P6" s="210">
        <f>-('Plan ventes'!P17+'Plan ventes'!P23+'Plan ventes'!P43+'Plan ventes'!P56)*Parametres!$D$105</f>
        <v/>
      </c>
      <c r="Q6" s="210">
        <f>-('Plan ventes'!Q17+'Plan ventes'!Q23+'Plan ventes'!Q43+'Plan ventes'!Q56)*Parametres!$D$105</f>
        <v/>
      </c>
      <c r="R6" s="210">
        <f>-('Plan ventes'!R17+'Plan ventes'!R23+'Plan ventes'!R43+'Plan ventes'!R56)*Parametres!$D$105</f>
        <v/>
      </c>
      <c r="S6" s="210">
        <f>-('Plan ventes'!S17+'Plan ventes'!S23+'Plan ventes'!S43+'Plan ventes'!S56)*Parametres!$D$105</f>
        <v/>
      </c>
      <c r="T6" s="210">
        <f>-('Plan ventes'!T17+'Plan ventes'!T23+'Plan ventes'!T43+'Plan ventes'!T56)*Parametres!$D$105</f>
        <v/>
      </c>
      <c r="U6" s="210">
        <f>-('Plan ventes'!U17+'Plan ventes'!U23+'Plan ventes'!U43+'Plan ventes'!U56)*Parametres!$D$105</f>
        <v/>
      </c>
      <c r="V6" s="210">
        <f>-('Plan ventes'!V17+'Plan ventes'!V23+'Plan ventes'!V43+'Plan ventes'!V56)*Parametres!$D$105</f>
        <v/>
      </c>
      <c r="W6" s="210">
        <f>-('Plan ventes'!W17+'Plan ventes'!W23+'Plan ventes'!W43+'Plan ventes'!W56)*Parametres!$D$105</f>
        <v/>
      </c>
      <c r="X6" s="210">
        <f>-('Plan ventes'!X17+'Plan ventes'!X23+'Plan ventes'!X43+'Plan ventes'!X56)*Parametres!$D$105</f>
        <v/>
      </c>
      <c r="Y6" s="210">
        <f>-('Plan ventes'!Y17+'Plan ventes'!Y23+'Plan ventes'!Y43+'Plan ventes'!Y56)*Parametres!$D$105</f>
        <v/>
      </c>
      <c r="Z6" s="210">
        <f>-('Plan ventes'!Z17+'Plan ventes'!Z23+'Plan ventes'!Z43+'Plan ventes'!Z56)*Parametres!$D$105</f>
        <v/>
      </c>
      <c r="AA6" s="210">
        <f>-('Plan ventes'!AA17+'Plan ventes'!AA23+'Plan ventes'!AA43+'Plan ventes'!AA56)*Parametres!$D$105</f>
        <v/>
      </c>
      <c r="AB6" s="210">
        <f>-('Plan ventes'!AB17+'Plan ventes'!AB23+'Plan ventes'!AB43+'Plan ventes'!AB56)*Parametres!$D$105</f>
        <v/>
      </c>
      <c r="AC6" s="210">
        <f>-('Plan ventes'!AC17+'Plan ventes'!AC23+'Plan ventes'!AC43+'Plan ventes'!AC56)*Parametres!$D$105</f>
        <v/>
      </c>
      <c r="AD6" s="210">
        <f>-('Plan ventes'!AD17+'Plan ventes'!AD23+'Plan ventes'!AD43+'Plan ventes'!AD56)*Parametres!$D$105</f>
        <v/>
      </c>
      <c r="AE6" s="210">
        <f>-('Plan ventes'!AE17+'Plan ventes'!AE23+'Plan ventes'!AE43+'Plan ventes'!AE56)*Parametres!$D$105</f>
        <v/>
      </c>
      <c r="AF6" s="210">
        <f>-('Plan ventes'!AF17+'Plan ventes'!AF23+'Plan ventes'!AF43+'Plan ventes'!AF56)*Parametres!$D$105</f>
        <v/>
      </c>
      <c r="AG6" s="210">
        <f>-('Plan ventes'!AG17+'Plan ventes'!AG23+'Plan ventes'!AG43+'Plan ventes'!AG56)*Parametres!$D$105</f>
        <v/>
      </c>
      <c r="AH6" s="210">
        <f>-('Plan ventes'!AH17+'Plan ventes'!AH23+'Plan ventes'!AH43+'Plan ventes'!AH56)*Parametres!$D$105</f>
        <v/>
      </c>
      <c r="AI6" s="210">
        <f>-('Plan ventes'!AI17+'Plan ventes'!AI23+'Plan ventes'!AI43+'Plan ventes'!AI56)*Parametres!$D$105</f>
        <v/>
      </c>
      <c r="AJ6" s="210">
        <f>-('Plan ventes'!AJ17+'Plan ventes'!AJ23+'Plan ventes'!AJ43+'Plan ventes'!AJ56)*Parametres!$D$105</f>
        <v/>
      </c>
      <c r="AK6" s="210">
        <f>-('Plan ventes'!AK17+'Plan ventes'!AK23+'Plan ventes'!AK43+'Plan ventes'!AK56)*Parametres!$D$105</f>
        <v/>
      </c>
    </row>
    <row r="7">
      <c r="A7" s="84" t="inlineStr">
        <is>
          <t>dont SMS (Ampio + C2C)</t>
        </is>
      </c>
      <c r="B7" s="210">
        <f>-('Plan ventes'!B19+'Plan ventes'!B52)*Parametres!$D$104*(1+Parametres!$D$46)^(B$2-1)</f>
        <v/>
      </c>
      <c r="C7" s="210">
        <f>-('Plan ventes'!C19+'Plan ventes'!C52)*Parametres!$D$104*(1+Parametres!$D$46)^(C$2-1)</f>
        <v/>
      </c>
      <c r="D7" s="210">
        <f>-('Plan ventes'!D19+'Plan ventes'!D52)*Parametres!$D$104*(1+Parametres!$D$46)^(D$2-1)</f>
        <v/>
      </c>
      <c r="E7" s="210">
        <f>-('Plan ventes'!E19+'Plan ventes'!E52)*Parametres!$D$104*(1+Parametres!$D$46)^(E$2-1)</f>
        <v/>
      </c>
      <c r="F7" s="210">
        <f>-('Plan ventes'!F19+'Plan ventes'!F52)*Parametres!$D$104*(1+Parametres!$D$46)^(F$2-1)</f>
        <v/>
      </c>
      <c r="G7" s="210">
        <f>-('Plan ventes'!G19+'Plan ventes'!G52)*Parametres!$D$104*(1+Parametres!$D$46)^(G$2-1)</f>
        <v/>
      </c>
      <c r="H7" s="210">
        <f>-('Plan ventes'!H19+'Plan ventes'!H52)*Parametres!$D$104*(1+Parametres!$D$46)^(H$2-1)</f>
        <v/>
      </c>
      <c r="I7" s="210">
        <f>-('Plan ventes'!I19+'Plan ventes'!I52)*Parametres!$D$104*(1+Parametres!$D$46)^(I$2-1)</f>
        <v/>
      </c>
      <c r="J7" s="210">
        <f>-('Plan ventes'!J19+'Plan ventes'!J52)*Parametres!$D$104*(1+Parametres!$D$46)^(J$2-1)</f>
        <v/>
      </c>
      <c r="K7" s="210">
        <f>-('Plan ventes'!K19+'Plan ventes'!K52)*Parametres!$D$104*(1+Parametres!$D$46)^(K$2-1)</f>
        <v/>
      </c>
      <c r="L7" s="210">
        <f>-('Plan ventes'!L19+'Plan ventes'!L52)*Parametres!$D$104*(1+Parametres!$D$46)^(L$2-1)</f>
        <v/>
      </c>
      <c r="M7" s="210">
        <f>-('Plan ventes'!M19+'Plan ventes'!M52)*Parametres!$D$104*(1+Parametres!$D$46)^(M$2-1)</f>
        <v/>
      </c>
      <c r="N7" s="210">
        <f>-('Plan ventes'!N19+'Plan ventes'!N52)*Parametres!$D$104*(1+Parametres!$D$46)^(N$2-1)</f>
        <v/>
      </c>
      <c r="O7" s="210">
        <f>-('Plan ventes'!O19+'Plan ventes'!O52)*Parametres!$D$104*(1+Parametres!$D$46)^(O$2-1)</f>
        <v/>
      </c>
      <c r="P7" s="210">
        <f>-('Plan ventes'!P19+'Plan ventes'!P52)*Parametres!$D$104*(1+Parametres!$D$46)^(P$2-1)</f>
        <v/>
      </c>
      <c r="Q7" s="210">
        <f>-('Plan ventes'!Q19+'Plan ventes'!Q52)*Parametres!$D$104*(1+Parametres!$D$46)^(Q$2-1)</f>
        <v/>
      </c>
      <c r="R7" s="210">
        <f>-('Plan ventes'!R19+'Plan ventes'!R52)*Parametres!$D$104*(1+Parametres!$D$46)^(R$2-1)</f>
        <v/>
      </c>
      <c r="S7" s="210">
        <f>-('Plan ventes'!S19+'Plan ventes'!S52)*Parametres!$D$104*(1+Parametres!$D$46)^(S$2-1)</f>
        <v/>
      </c>
      <c r="T7" s="210">
        <f>-('Plan ventes'!T19+'Plan ventes'!T52)*Parametres!$D$104*(1+Parametres!$D$46)^(T$2-1)</f>
        <v/>
      </c>
      <c r="U7" s="210">
        <f>-('Plan ventes'!U19+'Plan ventes'!U52)*Parametres!$D$104*(1+Parametres!$D$46)^(U$2-1)</f>
        <v/>
      </c>
      <c r="V7" s="210">
        <f>-('Plan ventes'!V19+'Plan ventes'!V52)*Parametres!$D$104*(1+Parametres!$D$46)^(V$2-1)</f>
        <v/>
      </c>
      <c r="W7" s="210">
        <f>-('Plan ventes'!W19+'Plan ventes'!W52)*Parametres!$D$104*(1+Parametres!$D$46)^(W$2-1)</f>
        <v/>
      </c>
      <c r="X7" s="210">
        <f>-('Plan ventes'!X19+'Plan ventes'!X52)*Parametres!$D$104*(1+Parametres!$D$46)^(X$2-1)</f>
        <v/>
      </c>
      <c r="Y7" s="210">
        <f>-('Plan ventes'!Y19+'Plan ventes'!Y52)*Parametres!$D$104*(1+Parametres!$D$46)^(Y$2-1)</f>
        <v/>
      </c>
      <c r="Z7" s="210">
        <f>-('Plan ventes'!Z19+'Plan ventes'!Z52)*Parametres!$D$104*(1+Parametres!$D$46)^(Z$2-1)</f>
        <v/>
      </c>
      <c r="AA7" s="210">
        <f>-('Plan ventes'!AA19+'Plan ventes'!AA52)*Parametres!$D$104*(1+Parametres!$D$46)^(AA$2-1)</f>
        <v/>
      </c>
      <c r="AB7" s="210">
        <f>-('Plan ventes'!AB19+'Plan ventes'!AB52)*Parametres!$D$104*(1+Parametres!$D$46)^(AB$2-1)</f>
        <v/>
      </c>
      <c r="AC7" s="210">
        <f>-('Plan ventes'!AC19+'Plan ventes'!AC52)*Parametres!$D$104*(1+Parametres!$D$46)^(AC$2-1)</f>
        <v/>
      </c>
      <c r="AD7" s="210">
        <f>-('Plan ventes'!AD19+'Plan ventes'!AD52)*Parametres!$D$104*(1+Parametres!$D$46)^(AD$2-1)</f>
        <v/>
      </c>
      <c r="AE7" s="210">
        <f>-('Plan ventes'!AE19+'Plan ventes'!AE52)*Parametres!$D$104*(1+Parametres!$D$46)^(AE$2-1)</f>
        <v/>
      </c>
      <c r="AF7" s="210">
        <f>-('Plan ventes'!AF19+'Plan ventes'!AF52)*Parametres!$D$104*(1+Parametres!$D$46)^(AF$2-1)</f>
        <v/>
      </c>
      <c r="AG7" s="210">
        <f>-('Plan ventes'!AG19+'Plan ventes'!AG52)*Parametres!$D$104*(1+Parametres!$D$46)^(AG$2-1)</f>
        <v/>
      </c>
      <c r="AH7" s="210">
        <f>-('Plan ventes'!AH19+'Plan ventes'!AH52)*Parametres!$D$104*(1+Parametres!$D$46)^(AH$2-1)</f>
        <v/>
      </c>
      <c r="AI7" s="210">
        <f>-('Plan ventes'!AI19+'Plan ventes'!AI52)*Parametres!$D$104*(1+Parametres!$D$46)^(AI$2-1)</f>
        <v/>
      </c>
      <c r="AJ7" s="210">
        <f>-('Plan ventes'!AJ19+'Plan ventes'!AJ52)*Parametres!$D$104*(1+Parametres!$D$46)^(AJ$2-1)</f>
        <v/>
      </c>
      <c r="AK7" s="210">
        <f>-('Plan ventes'!AK19+'Plan ventes'!AK52)*Parametres!$D$104*(1+Parametres!$D$46)^(AK$2-1)</f>
        <v/>
      </c>
    </row>
    <row r="8">
      <c r="A8" s="84" t="inlineStr">
        <is>
          <t>dont support / modération (Ar / transaction)</t>
        </is>
      </c>
      <c r="B8" s="210">
        <f>-'Plan ventes'!B64*Parametres!$D$106</f>
        <v/>
      </c>
      <c r="C8" s="210">
        <f>-'Plan ventes'!C64*Parametres!$D$106</f>
        <v/>
      </c>
      <c r="D8" s="210">
        <f>-'Plan ventes'!D64*Parametres!$D$106</f>
        <v/>
      </c>
      <c r="E8" s="210">
        <f>-'Plan ventes'!E64*Parametres!$D$106</f>
        <v/>
      </c>
      <c r="F8" s="210">
        <f>-'Plan ventes'!F64*Parametres!$D$106</f>
        <v/>
      </c>
      <c r="G8" s="210">
        <f>-'Plan ventes'!G64*Parametres!$D$106</f>
        <v/>
      </c>
      <c r="H8" s="210">
        <f>-'Plan ventes'!H64*Parametres!$D$106</f>
        <v/>
      </c>
      <c r="I8" s="210">
        <f>-'Plan ventes'!I64*Parametres!$D$106</f>
        <v/>
      </c>
      <c r="J8" s="210">
        <f>-'Plan ventes'!J64*Parametres!$D$106</f>
        <v/>
      </c>
      <c r="K8" s="210">
        <f>-'Plan ventes'!K64*Parametres!$D$106</f>
        <v/>
      </c>
      <c r="L8" s="210">
        <f>-'Plan ventes'!L64*Parametres!$D$106</f>
        <v/>
      </c>
      <c r="M8" s="210">
        <f>-'Plan ventes'!M64*Parametres!$D$106</f>
        <v/>
      </c>
      <c r="N8" s="210">
        <f>-'Plan ventes'!N64*Parametres!$D$106</f>
        <v/>
      </c>
      <c r="O8" s="210">
        <f>-'Plan ventes'!O64*Parametres!$D$106</f>
        <v/>
      </c>
      <c r="P8" s="210">
        <f>-'Plan ventes'!P64*Parametres!$D$106</f>
        <v/>
      </c>
      <c r="Q8" s="210">
        <f>-'Plan ventes'!Q64*Parametres!$D$106</f>
        <v/>
      </c>
      <c r="R8" s="210">
        <f>-'Plan ventes'!R64*Parametres!$D$106</f>
        <v/>
      </c>
      <c r="S8" s="210">
        <f>-'Plan ventes'!S64*Parametres!$D$106</f>
        <v/>
      </c>
      <c r="T8" s="210">
        <f>-'Plan ventes'!T64*Parametres!$D$106</f>
        <v/>
      </c>
      <c r="U8" s="210">
        <f>-'Plan ventes'!U64*Parametres!$D$106</f>
        <v/>
      </c>
      <c r="V8" s="210">
        <f>-'Plan ventes'!V64*Parametres!$D$106</f>
        <v/>
      </c>
      <c r="W8" s="210">
        <f>-'Plan ventes'!W64*Parametres!$D$106</f>
        <v/>
      </c>
      <c r="X8" s="210">
        <f>-'Plan ventes'!X64*Parametres!$D$106</f>
        <v/>
      </c>
      <c r="Y8" s="210">
        <f>-'Plan ventes'!Y64*Parametres!$D$106</f>
        <v/>
      </c>
      <c r="Z8" s="210">
        <f>-'Plan ventes'!Z64*Parametres!$D$106</f>
        <v/>
      </c>
      <c r="AA8" s="210">
        <f>-'Plan ventes'!AA64*Parametres!$D$106</f>
        <v/>
      </c>
      <c r="AB8" s="210">
        <f>-'Plan ventes'!AB64*Parametres!$D$106</f>
        <v/>
      </c>
      <c r="AC8" s="210">
        <f>-'Plan ventes'!AC64*Parametres!$D$106</f>
        <v/>
      </c>
      <c r="AD8" s="210">
        <f>-'Plan ventes'!AD64*Parametres!$D$106</f>
        <v/>
      </c>
      <c r="AE8" s="210">
        <f>-'Plan ventes'!AE64*Parametres!$D$106</f>
        <v/>
      </c>
      <c r="AF8" s="210">
        <f>-'Plan ventes'!AF64*Parametres!$D$106</f>
        <v/>
      </c>
      <c r="AG8" s="210">
        <f>-'Plan ventes'!AG64*Parametres!$D$106</f>
        <v/>
      </c>
      <c r="AH8" s="210">
        <f>-'Plan ventes'!AH64*Parametres!$D$106</f>
        <v/>
      </c>
      <c r="AI8" s="210">
        <f>-'Plan ventes'!AI64*Parametres!$D$106</f>
        <v/>
      </c>
      <c r="AJ8" s="210">
        <f>-'Plan ventes'!AJ64*Parametres!$D$106</f>
        <v/>
      </c>
      <c r="AK8" s="210">
        <f>-'Plan ventes'!AK64*Parametres!$D$106</f>
        <v/>
      </c>
    </row>
    <row r="9">
      <c r="A9" s="84" t="inlineStr">
        <is>
          <t>dont vérification nouveaux clients (prestataires, loueurs, vidéo, demande)</t>
        </is>
      </c>
      <c r="B9" s="210">
        <f>-'Plan ventes'!B66*Parametres!$D$107</f>
        <v/>
      </c>
      <c r="C9" s="210">
        <f>-'Plan ventes'!C66*Parametres!$D$107</f>
        <v/>
      </c>
      <c r="D9" s="210">
        <f>-'Plan ventes'!D66*Parametres!$D$107</f>
        <v/>
      </c>
      <c r="E9" s="210">
        <f>-'Plan ventes'!E66*Parametres!$D$107</f>
        <v/>
      </c>
      <c r="F9" s="210">
        <f>-'Plan ventes'!F66*Parametres!$D$107</f>
        <v/>
      </c>
      <c r="G9" s="210">
        <f>-'Plan ventes'!G66*Parametres!$D$107</f>
        <v/>
      </c>
      <c r="H9" s="210">
        <f>-'Plan ventes'!H66*Parametres!$D$107</f>
        <v/>
      </c>
      <c r="I9" s="210">
        <f>-'Plan ventes'!I66*Parametres!$D$107</f>
        <v/>
      </c>
      <c r="J9" s="210">
        <f>-'Plan ventes'!J66*Parametres!$D$107</f>
        <v/>
      </c>
      <c r="K9" s="210">
        <f>-'Plan ventes'!K66*Parametres!$D$107</f>
        <v/>
      </c>
      <c r="L9" s="210">
        <f>-'Plan ventes'!L66*Parametres!$D$107</f>
        <v/>
      </c>
      <c r="M9" s="210">
        <f>-'Plan ventes'!M66*Parametres!$D$107</f>
        <v/>
      </c>
      <c r="N9" s="210">
        <f>-'Plan ventes'!N66*Parametres!$D$107</f>
        <v/>
      </c>
      <c r="O9" s="210">
        <f>-'Plan ventes'!O66*Parametres!$D$107</f>
        <v/>
      </c>
      <c r="P9" s="210">
        <f>-'Plan ventes'!P66*Parametres!$D$107</f>
        <v/>
      </c>
      <c r="Q9" s="210">
        <f>-'Plan ventes'!Q66*Parametres!$D$107</f>
        <v/>
      </c>
      <c r="R9" s="210">
        <f>-'Plan ventes'!R66*Parametres!$D$107</f>
        <v/>
      </c>
      <c r="S9" s="210">
        <f>-'Plan ventes'!S66*Parametres!$D$107</f>
        <v/>
      </c>
      <c r="T9" s="210">
        <f>-'Plan ventes'!T66*Parametres!$D$107</f>
        <v/>
      </c>
      <c r="U9" s="210">
        <f>-'Plan ventes'!U66*Parametres!$D$107</f>
        <v/>
      </c>
      <c r="V9" s="210">
        <f>-'Plan ventes'!V66*Parametres!$D$107</f>
        <v/>
      </c>
      <c r="W9" s="210">
        <f>-'Plan ventes'!W66*Parametres!$D$107</f>
        <v/>
      </c>
      <c r="X9" s="210">
        <f>-'Plan ventes'!X66*Parametres!$D$107</f>
        <v/>
      </c>
      <c r="Y9" s="210">
        <f>-'Plan ventes'!Y66*Parametres!$D$107</f>
        <v/>
      </c>
      <c r="Z9" s="210">
        <f>-'Plan ventes'!Z66*Parametres!$D$107</f>
        <v/>
      </c>
      <c r="AA9" s="210">
        <f>-'Plan ventes'!AA66*Parametres!$D$107</f>
        <v/>
      </c>
      <c r="AB9" s="210">
        <f>-'Plan ventes'!AB66*Parametres!$D$107</f>
        <v/>
      </c>
      <c r="AC9" s="210">
        <f>-'Plan ventes'!AC66*Parametres!$D$107</f>
        <v/>
      </c>
      <c r="AD9" s="210">
        <f>-'Plan ventes'!AD66*Parametres!$D$107</f>
        <v/>
      </c>
      <c r="AE9" s="210">
        <f>-'Plan ventes'!AE66*Parametres!$D$107</f>
        <v/>
      </c>
      <c r="AF9" s="210">
        <f>-'Plan ventes'!AF66*Parametres!$D$107</f>
        <v/>
      </c>
      <c r="AG9" s="210">
        <f>-'Plan ventes'!AG66*Parametres!$D$107</f>
        <v/>
      </c>
      <c r="AH9" s="210">
        <f>-'Plan ventes'!AH66*Parametres!$D$107</f>
        <v/>
      </c>
      <c r="AI9" s="210">
        <f>-'Plan ventes'!AI66*Parametres!$D$107</f>
        <v/>
      </c>
      <c r="AJ9" s="210">
        <f>-'Plan ventes'!AJ66*Parametres!$D$107</f>
        <v/>
      </c>
      <c r="AK9" s="210">
        <f>-'Plan ventes'!AK66*Parametres!$D$107</f>
        <v/>
      </c>
    </row>
    <row r="10">
      <c r="A10" s="84" t="inlineStr">
        <is>
          <t>dont provision litiges (% GMV)</t>
        </is>
      </c>
      <c r="B10" s="210">
        <f>-'Plan ventes'!B60*Parametres!$D$108</f>
        <v/>
      </c>
      <c r="C10" s="210">
        <f>-'Plan ventes'!C60*Parametres!$D$108</f>
        <v/>
      </c>
      <c r="D10" s="210">
        <f>-'Plan ventes'!D60*Parametres!$D$108</f>
        <v/>
      </c>
      <c r="E10" s="210">
        <f>-'Plan ventes'!E60*Parametres!$D$108</f>
        <v/>
      </c>
      <c r="F10" s="210">
        <f>-'Plan ventes'!F60*Parametres!$D$108</f>
        <v/>
      </c>
      <c r="G10" s="210">
        <f>-'Plan ventes'!G60*Parametres!$D$108</f>
        <v/>
      </c>
      <c r="H10" s="210">
        <f>-'Plan ventes'!H60*Parametres!$D$108</f>
        <v/>
      </c>
      <c r="I10" s="210">
        <f>-'Plan ventes'!I60*Parametres!$D$108</f>
        <v/>
      </c>
      <c r="J10" s="210">
        <f>-'Plan ventes'!J60*Parametres!$D$108</f>
        <v/>
      </c>
      <c r="K10" s="210">
        <f>-'Plan ventes'!K60*Parametres!$D$108</f>
        <v/>
      </c>
      <c r="L10" s="210">
        <f>-'Plan ventes'!L60*Parametres!$D$108</f>
        <v/>
      </c>
      <c r="M10" s="210">
        <f>-'Plan ventes'!M60*Parametres!$D$108</f>
        <v/>
      </c>
      <c r="N10" s="210">
        <f>-'Plan ventes'!N60*Parametres!$D$108</f>
        <v/>
      </c>
      <c r="O10" s="210">
        <f>-'Plan ventes'!O60*Parametres!$D$108</f>
        <v/>
      </c>
      <c r="P10" s="210">
        <f>-'Plan ventes'!P60*Parametres!$D$108</f>
        <v/>
      </c>
      <c r="Q10" s="210">
        <f>-'Plan ventes'!Q60*Parametres!$D$108</f>
        <v/>
      </c>
      <c r="R10" s="210">
        <f>-'Plan ventes'!R60*Parametres!$D$108</f>
        <v/>
      </c>
      <c r="S10" s="210">
        <f>-'Plan ventes'!S60*Parametres!$D$108</f>
        <v/>
      </c>
      <c r="T10" s="210">
        <f>-'Plan ventes'!T60*Parametres!$D$108</f>
        <v/>
      </c>
      <c r="U10" s="210">
        <f>-'Plan ventes'!U60*Parametres!$D$108</f>
        <v/>
      </c>
      <c r="V10" s="210">
        <f>-'Plan ventes'!V60*Parametres!$D$108</f>
        <v/>
      </c>
      <c r="W10" s="210">
        <f>-'Plan ventes'!W60*Parametres!$D$108</f>
        <v/>
      </c>
      <c r="X10" s="210">
        <f>-'Plan ventes'!X60*Parametres!$D$108</f>
        <v/>
      </c>
      <c r="Y10" s="210">
        <f>-'Plan ventes'!Y60*Parametres!$D$108</f>
        <v/>
      </c>
      <c r="Z10" s="210">
        <f>-'Plan ventes'!Z60*Parametres!$D$108</f>
        <v/>
      </c>
      <c r="AA10" s="210">
        <f>-'Plan ventes'!AA60*Parametres!$D$108</f>
        <v/>
      </c>
      <c r="AB10" s="210">
        <f>-'Plan ventes'!AB60*Parametres!$D$108</f>
        <v/>
      </c>
      <c r="AC10" s="210">
        <f>-'Plan ventes'!AC60*Parametres!$D$108</f>
        <v/>
      </c>
      <c r="AD10" s="210">
        <f>-'Plan ventes'!AD60*Parametres!$D$108</f>
        <v/>
      </c>
      <c r="AE10" s="210">
        <f>-'Plan ventes'!AE60*Parametres!$D$108</f>
        <v/>
      </c>
      <c r="AF10" s="210">
        <f>-'Plan ventes'!AF60*Parametres!$D$108</f>
        <v/>
      </c>
      <c r="AG10" s="210">
        <f>-'Plan ventes'!AG60*Parametres!$D$108</f>
        <v/>
      </c>
      <c r="AH10" s="210">
        <f>-'Plan ventes'!AH60*Parametres!$D$108</f>
        <v/>
      </c>
      <c r="AI10" s="210">
        <f>-'Plan ventes'!AI60*Parametres!$D$108</f>
        <v/>
      </c>
      <c r="AJ10" s="210">
        <f>-'Plan ventes'!AJ60*Parametres!$D$108</f>
        <v/>
      </c>
      <c r="AK10" s="210">
        <f>-'Plan ventes'!AK60*Parametres!$D$108</f>
        <v/>
      </c>
    </row>
    <row r="11" ht="16" customHeight="1" s="143">
      <c r="A11" s="86" t="inlineStr">
        <is>
          <t>Total coûts variables</t>
        </is>
      </c>
      <c r="B11" s="211">
        <f>B6+B7+B8+B9+B10</f>
        <v/>
      </c>
      <c r="C11" s="211">
        <f>C6+C7+C8+C9+C10</f>
        <v/>
      </c>
      <c r="D11" s="211">
        <f>D6+D7+D8+D9+D10</f>
        <v/>
      </c>
      <c r="E11" s="211">
        <f>E6+E7+E8+E9+E10</f>
        <v/>
      </c>
      <c r="F11" s="211">
        <f>F6+F7+F8+F9+F10</f>
        <v/>
      </c>
      <c r="G11" s="211">
        <f>G6+G7+G8+G9+G10</f>
        <v/>
      </c>
      <c r="H11" s="211">
        <f>H6+H7+H8+H9+H10</f>
        <v/>
      </c>
      <c r="I11" s="211">
        <f>I6+I7+I8+I9+I10</f>
        <v/>
      </c>
      <c r="J11" s="211">
        <f>J6+J7+J8+J9+J10</f>
        <v/>
      </c>
      <c r="K11" s="211">
        <f>K6+K7+K8+K9+K10</f>
        <v/>
      </c>
      <c r="L11" s="211">
        <f>L6+L7+L8+L9+L10</f>
        <v/>
      </c>
      <c r="M11" s="211">
        <f>M6+M7+M8+M9+M10</f>
        <v/>
      </c>
      <c r="N11" s="211">
        <f>N6+N7+N8+N9+N10</f>
        <v/>
      </c>
      <c r="O11" s="211">
        <f>O6+O7+O8+O9+O10</f>
        <v/>
      </c>
      <c r="P11" s="211">
        <f>P6+P7+P8+P9+P10</f>
        <v/>
      </c>
      <c r="Q11" s="211">
        <f>Q6+Q7+Q8+Q9+Q10</f>
        <v/>
      </c>
      <c r="R11" s="211">
        <f>R6+R7+R8+R9+R10</f>
        <v/>
      </c>
      <c r="S11" s="211">
        <f>S6+S7+S8+S9+S10</f>
        <v/>
      </c>
      <c r="T11" s="211">
        <f>T6+T7+T8+T9+T10</f>
        <v/>
      </c>
      <c r="U11" s="211">
        <f>U6+U7+U8+U9+U10</f>
        <v/>
      </c>
      <c r="V11" s="211">
        <f>V6+V7+V8+V9+V10</f>
        <v/>
      </c>
      <c r="W11" s="211">
        <f>W6+W7+W8+W9+W10</f>
        <v/>
      </c>
      <c r="X11" s="211">
        <f>X6+X7+X8+X9+X10</f>
        <v/>
      </c>
      <c r="Y11" s="211">
        <f>Y6+Y7+Y8+Y9+Y10</f>
        <v/>
      </c>
      <c r="Z11" s="211">
        <f>Z6+Z7+Z8+Z9+Z10</f>
        <v/>
      </c>
      <c r="AA11" s="211">
        <f>AA6+AA7+AA8+AA9+AA10</f>
        <v/>
      </c>
      <c r="AB11" s="211">
        <f>AB6+AB7+AB8+AB9+AB10</f>
        <v/>
      </c>
      <c r="AC11" s="211">
        <f>AC6+AC7+AC8+AC9+AC10</f>
        <v/>
      </c>
      <c r="AD11" s="211">
        <f>AD6+AD7+AD8+AD9+AD10</f>
        <v/>
      </c>
      <c r="AE11" s="211">
        <f>AE6+AE7+AE8+AE9+AE10</f>
        <v/>
      </c>
      <c r="AF11" s="211">
        <f>AF6+AF7+AF8+AF9+AF10</f>
        <v/>
      </c>
      <c r="AG11" s="211">
        <f>AG6+AG7+AG8+AG9+AG10</f>
        <v/>
      </c>
      <c r="AH11" s="211">
        <f>AH6+AH7+AH8+AH9+AH10</f>
        <v/>
      </c>
      <c r="AI11" s="211">
        <f>AI6+AI7+AI8+AI9+AI10</f>
        <v/>
      </c>
      <c r="AJ11" s="211">
        <f>AJ6+AJ7+AJ8+AJ9+AJ10</f>
        <v/>
      </c>
      <c r="AK11" s="211">
        <f>AK6+AK7+AK8+AK9+AK10</f>
        <v/>
      </c>
    </row>
    <row r="12" ht="16" customHeight="1" s="143">
      <c r="A12" s="86" t="inlineStr">
        <is>
          <t>MARGE DE CONTRIBUTION</t>
        </is>
      </c>
      <c r="B12" s="211">
        <f>B5+B11</f>
        <v/>
      </c>
      <c r="C12" s="211">
        <f>C5+C11</f>
        <v/>
      </c>
      <c r="D12" s="211">
        <f>D5+D11</f>
        <v/>
      </c>
      <c r="E12" s="211">
        <f>E5+E11</f>
        <v/>
      </c>
      <c r="F12" s="211">
        <f>F5+F11</f>
        <v/>
      </c>
      <c r="G12" s="211">
        <f>G5+G11</f>
        <v/>
      </c>
      <c r="H12" s="211">
        <f>H5+H11</f>
        <v/>
      </c>
      <c r="I12" s="211">
        <f>I5+I11</f>
        <v/>
      </c>
      <c r="J12" s="211">
        <f>J5+J11</f>
        <v/>
      </c>
      <c r="K12" s="211">
        <f>K5+K11</f>
        <v/>
      </c>
      <c r="L12" s="211">
        <f>L5+L11</f>
        <v/>
      </c>
      <c r="M12" s="211">
        <f>M5+M11</f>
        <v/>
      </c>
      <c r="N12" s="211">
        <f>N5+N11</f>
        <v/>
      </c>
      <c r="O12" s="211">
        <f>O5+O11</f>
        <v/>
      </c>
      <c r="P12" s="211">
        <f>P5+P11</f>
        <v/>
      </c>
      <c r="Q12" s="211">
        <f>Q5+Q11</f>
        <v/>
      </c>
      <c r="R12" s="211">
        <f>R5+R11</f>
        <v/>
      </c>
      <c r="S12" s="211">
        <f>S5+S11</f>
        <v/>
      </c>
      <c r="T12" s="211">
        <f>T5+T11</f>
        <v/>
      </c>
      <c r="U12" s="211">
        <f>U5+U11</f>
        <v/>
      </c>
      <c r="V12" s="211">
        <f>V5+V11</f>
        <v/>
      </c>
      <c r="W12" s="211">
        <f>W5+W11</f>
        <v/>
      </c>
      <c r="X12" s="211">
        <f>X5+X11</f>
        <v/>
      </c>
      <c r="Y12" s="211">
        <f>Y5+Y11</f>
        <v/>
      </c>
      <c r="Z12" s="211">
        <f>Z5+Z11</f>
        <v/>
      </c>
      <c r="AA12" s="211">
        <f>AA5+AA11</f>
        <v/>
      </c>
      <c r="AB12" s="211">
        <f>AB5+AB11</f>
        <v/>
      </c>
      <c r="AC12" s="211">
        <f>AC5+AC11</f>
        <v/>
      </c>
      <c r="AD12" s="211">
        <f>AD5+AD11</f>
        <v/>
      </c>
      <c r="AE12" s="211">
        <f>AE5+AE11</f>
        <v/>
      </c>
      <c r="AF12" s="211">
        <f>AF5+AF11</f>
        <v/>
      </c>
      <c r="AG12" s="211">
        <f>AG5+AG11</f>
        <v/>
      </c>
      <c r="AH12" s="211">
        <f>AH5+AH11</f>
        <v/>
      </c>
      <c r="AI12" s="211">
        <f>AI5+AI11</f>
        <v/>
      </c>
      <c r="AJ12" s="211">
        <f>AJ5+AJ11</f>
        <v/>
      </c>
      <c r="AK12" s="211">
        <f>AK5+AK11</f>
        <v/>
      </c>
    </row>
    <row r="13">
      <c r="A13" s="84" t="inlineStr">
        <is>
          <t>% contribution</t>
        </is>
      </c>
      <c r="B13" s="88">
        <f>IF(B5=0,0,B12/B5)</f>
        <v/>
      </c>
      <c r="C13" s="88">
        <f>IF(C5=0,0,C12/C5)</f>
        <v/>
      </c>
      <c r="D13" s="88">
        <f>IF(D5=0,0,D12/D5)</f>
        <v/>
      </c>
      <c r="E13" s="88">
        <f>IF(E5=0,0,E12/E5)</f>
        <v/>
      </c>
      <c r="F13" s="88">
        <f>IF(F5=0,0,F12/F5)</f>
        <v/>
      </c>
      <c r="G13" s="88">
        <f>IF(G5=0,0,G12/G5)</f>
        <v/>
      </c>
      <c r="H13" s="88">
        <f>IF(H5=0,0,H12/H5)</f>
        <v/>
      </c>
      <c r="I13" s="88">
        <f>IF(I5=0,0,I12/I5)</f>
        <v/>
      </c>
      <c r="J13" s="88">
        <f>IF(J5=0,0,J12/J5)</f>
        <v/>
      </c>
      <c r="K13" s="88">
        <f>IF(K5=0,0,K12/K5)</f>
        <v/>
      </c>
      <c r="L13" s="88">
        <f>IF(L5=0,0,L12/L5)</f>
        <v/>
      </c>
      <c r="M13" s="88">
        <f>IF(M5=0,0,M12/M5)</f>
        <v/>
      </c>
      <c r="N13" s="88">
        <f>IF(N5=0,0,N12/N5)</f>
        <v/>
      </c>
      <c r="O13" s="88">
        <f>IF(O5=0,0,O12/O5)</f>
        <v/>
      </c>
      <c r="P13" s="88">
        <f>IF(P5=0,0,P12/P5)</f>
        <v/>
      </c>
      <c r="Q13" s="88">
        <f>IF(Q5=0,0,Q12/Q5)</f>
        <v/>
      </c>
      <c r="R13" s="88">
        <f>IF(R5=0,0,R12/R5)</f>
        <v/>
      </c>
      <c r="S13" s="88">
        <f>IF(S5=0,0,S12/S5)</f>
        <v/>
      </c>
      <c r="T13" s="88">
        <f>IF(T5=0,0,T12/T5)</f>
        <v/>
      </c>
      <c r="U13" s="88">
        <f>IF(U5=0,0,U12/U5)</f>
        <v/>
      </c>
      <c r="V13" s="88">
        <f>IF(V5=0,0,V12/V5)</f>
        <v/>
      </c>
      <c r="W13" s="88">
        <f>IF(W5=0,0,W12/W5)</f>
        <v/>
      </c>
      <c r="X13" s="88">
        <f>IF(X5=0,0,X12/X5)</f>
        <v/>
      </c>
      <c r="Y13" s="88">
        <f>IF(Y5=0,0,Y12/Y5)</f>
        <v/>
      </c>
      <c r="Z13" s="88">
        <f>IF(Z5=0,0,Z12/Z5)</f>
        <v/>
      </c>
      <c r="AA13" s="88">
        <f>IF(AA5=0,0,AA12/AA5)</f>
        <v/>
      </c>
      <c r="AB13" s="88">
        <f>IF(AB5=0,0,AB12/AB5)</f>
        <v/>
      </c>
      <c r="AC13" s="88">
        <f>IF(AC5=0,0,AC12/AC5)</f>
        <v/>
      </c>
      <c r="AD13" s="88">
        <f>IF(AD5=0,0,AD12/AD5)</f>
        <v/>
      </c>
      <c r="AE13" s="88">
        <f>IF(AE5=0,0,AE12/AE5)</f>
        <v/>
      </c>
      <c r="AF13" s="88">
        <f>IF(AF5=0,0,AF12/AF5)</f>
        <v/>
      </c>
      <c r="AG13" s="88">
        <f>IF(AG5=0,0,AG12/AG5)</f>
        <v/>
      </c>
      <c r="AH13" s="88">
        <f>IF(AH5=0,0,AH12/AH5)</f>
        <v/>
      </c>
      <c r="AI13" s="88">
        <f>IF(AI5=0,0,AI12/AI5)</f>
        <v/>
      </c>
      <c r="AJ13" s="88">
        <f>IF(AJ5=0,0,AJ12/AJ5)</f>
        <v/>
      </c>
      <c r="AK13" s="88">
        <f>IF(AK5=0,0,AK12/AK5)</f>
        <v/>
      </c>
    </row>
    <row r="15">
      <c r="A15" s="84" t="inlineStr">
        <is>
          <t>Publicité (budget saisi par année, Parametres section 9)</t>
        </is>
      </c>
      <c r="B15" s="210">
        <f>-'Plan ventes'!B6</f>
        <v/>
      </c>
      <c r="C15" s="210">
        <f>-'Plan ventes'!C6</f>
        <v/>
      </c>
      <c r="D15" s="210">
        <f>-'Plan ventes'!D6</f>
        <v/>
      </c>
      <c r="E15" s="210">
        <f>-'Plan ventes'!E6</f>
        <v/>
      </c>
      <c r="F15" s="210">
        <f>-'Plan ventes'!F6</f>
        <v/>
      </c>
      <c r="G15" s="210">
        <f>-'Plan ventes'!G6</f>
        <v/>
      </c>
      <c r="H15" s="210">
        <f>-'Plan ventes'!H6</f>
        <v/>
      </c>
      <c r="I15" s="210">
        <f>-'Plan ventes'!I6</f>
        <v/>
      </c>
      <c r="J15" s="210">
        <f>-'Plan ventes'!J6</f>
        <v/>
      </c>
      <c r="K15" s="210">
        <f>-'Plan ventes'!K6</f>
        <v/>
      </c>
      <c r="L15" s="210">
        <f>-'Plan ventes'!L6</f>
        <v/>
      </c>
      <c r="M15" s="210">
        <f>-'Plan ventes'!M6</f>
        <v/>
      </c>
      <c r="N15" s="210">
        <f>-'Plan ventes'!N6</f>
        <v/>
      </c>
      <c r="O15" s="210">
        <f>-'Plan ventes'!O6</f>
        <v/>
      </c>
      <c r="P15" s="210">
        <f>-'Plan ventes'!P6</f>
        <v/>
      </c>
      <c r="Q15" s="210">
        <f>-'Plan ventes'!Q6</f>
        <v/>
      </c>
      <c r="R15" s="210">
        <f>-'Plan ventes'!R6</f>
        <v/>
      </c>
      <c r="S15" s="210">
        <f>-'Plan ventes'!S6</f>
        <v/>
      </c>
      <c r="T15" s="210">
        <f>-'Plan ventes'!T6</f>
        <v/>
      </c>
      <c r="U15" s="210">
        <f>-'Plan ventes'!U6</f>
        <v/>
      </c>
      <c r="V15" s="210">
        <f>-'Plan ventes'!V6</f>
        <v/>
      </c>
      <c r="W15" s="210">
        <f>-'Plan ventes'!W6</f>
        <v/>
      </c>
      <c r="X15" s="210">
        <f>-'Plan ventes'!X6</f>
        <v/>
      </c>
      <c r="Y15" s="210">
        <f>-'Plan ventes'!Y6</f>
        <v/>
      </c>
      <c r="Z15" s="210">
        <f>-'Plan ventes'!Z6</f>
        <v/>
      </c>
      <c r="AA15" s="210">
        <f>-'Plan ventes'!AA6</f>
        <v/>
      </c>
      <c r="AB15" s="210">
        <f>-'Plan ventes'!AB6</f>
        <v/>
      </c>
      <c r="AC15" s="210">
        <f>-'Plan ventes'!AC6</f>
        <v/>
      </c>
      <c r="AD15" s="210">
        <f>-'Plan ventes'!AD6</f>
        <v/>
      </c>
      <c r="AE15" s="210">
        <f>-'Plan ventes'!AE6</f>
        <v/>
      </c>
      <c r="AF15" s="210">
        <f>-'Plan ventes'!AF6</f>
        <v/>
      </c>
      <c r="AG15" s="210">
        <f>-'Plan ventes'!AG6</f>
        <v/>
      </c>
      <c r="AH15" s="210">
        <f>-'Plan ventes'!AH6</f>
        <v/>
      </c>
      <c r="AI15" s="210">
        <f>-'Plan ventes'!AI6</f>
        <v/>
      </c>
      <c r="AJ15" s="210">
        <f>-'Plan ventes'!AJ6</f>
        <v/>
      </c>
      <c r="AK15" s="210">
        <f>-'Plan ventes'!AK6</f>
        <v/>
      </c>
    </row>
    <row r="16">
      <c r="A16" s="84" t="inlineStr">
        <is>
          <t>Contribution après pub</t>
        </is>
      </c>
      <c r="B16" s="211">
        <f>B12+B15</f>
        <v/>
      </c>
      <c r="C16" s="211">
        <f>C12+C15</f>
        <v/>
      </c>
      <c r="D16" s="211">
        <f>D12+D15</f>
        <v/>
      </c>
      <c r="E16" s="211">
        <f>E12+E15</f>
        <v/>
      </c>
      <c r="F16" s="211">
        <f>F12+F15</f>
        <v/>
      </c>
      <c r="G16" s="211">
        <f>G12+G15</f>
        <v/>
      </c>
      <c r="H16" s="211">
        <f>H12+H15</f>
        <v/>
      </c>
      <c r="I16" s="211">
        <f>I12+I15</f>
        <v/>
      </c>
      <c r="J16" s="211">
        <f>J12+J15</f>
        <v/>
      </c>
      <c r="K16" s="211">
        <f>K12+K15</f>
        <v/>
      </c>
      <c r="L16" s="211">
        <f>L12+L15</f>
        <v/>
      </c>
      <c r="M16" s="211">
        <f>M12+M15</f>
        <v/>
      </c>
      <c r="N16" s="211">
        <f>N12+N15</f>
        <v/>
      </c>
      <c r="O16" s="211">
        <f>O12+O15</f>
        <v/>
      </c>
      <c r="P16" s="211">
        <f>P12+P15</f>
        <v/>
      </c>
      <c r="Q16" s="211">
        <f>Q12+Q15</f>
        <v/>
      </c>
      <c r="R16" s="211">
        <f>R12+R15</f>
        <v/>
      </c>
      <c r="S16" s="211">
        <f>S12+S15</f>
        <v/>
      </c>
      <c r="T16" s="211">
        <f>T12+T15</f>
        <v/>
      </c>
      <c r="U16" s="211">
        <f>U12+U15</f>
        <v/>
      </c>
      <c r="V16" s="211">
        <f>V12+V15</f>
        <v/>
      </c>
      <c r="W16" s="211">
        <f>W12+W15</f>
        <v/>
      </c>
      <c r="X16" s="211">
        <f>X12+X15</f>
        <v/>
      </c>
      <c r="Y16" s="211">
        <f>Y12+Y15</f>
        <v/>
      </c>
      <c r="Z16" s="211">
        <f>Z12+Z15</f>
        <v/>
      </c>
      <c r="AA16" s="211">
        <f>AA12+AA15</f>
        <v/>
      </c>
      <c r="AB16" s="211">
        <f>AB12+AB15</f>
        <v/>
      </c>
      <c r="AC16" s="211">
        <f>AC12+AC15</f>
        <v/>
      </c>
      <c r="AD16" s="211">
        <f>AD12+AD15</f>
        <v/>
      </c>
      <c r="AE16" s="211">
        <f>AE12+AE15</f>
        <v/>
      </c>
      <c r="AF16" s="211">
        <f>AF12+AF15</f>
        <v/>
      </c>
      <c r="AG16" s="211">
        <f>AG12+AG15</f>
        <v/>
      </c>
      <c r="AH16" s="211">
        <f>AH12+AH15</f>
        <v/>
      </c>
      <c r="AI16" s="211">
        <f>AI12+AI15</f>
        <v/>
      </c>
      <c r="AJ16" s="211">
        <f>AJ12+AJ15</f>
        <v/>
      </c>
      <c r="AK16" s="211">
        <f>AK12+AK15</f>
        <v/>
      </c>
    </row>
    <row r="18">
      <c r="A18" s="84" t="inlineStr">
        <is>
          <t>OPEX fixes (loyer, salaires chargés, hébergement, storage, modération, accompagnement)</t>
        </is>
      </c>
      <c r="B18" s="209">
        <f>'P&amp;L'!B17-B15</f>
        <v/>
      </c>
      <c r="C18" s="209">
        <f>'P&amp;L'!C17-C15</f>
        <v/>
      </c>
      <c r="D18" s="209">
        <f>'P&amp;L'!D17-D15</f>
        <v/>
      </c>
      <c r="E18" s="209">
        <f>'P&amp;L'!E17-E15</f>
        <v/>
      </c>
      <c r="F18" s="209">
        <f>'P&amp;L'!F17-F15</f>
        <v/>
      </c>
      <c r="G18" s="209">
        <f>'P&amp;L'!G17-G15</f>
        <v/>
      </c>
      <c r="H18" s="209">
        <f>'P&amp;L'!H17-H15</f>
        <v/>
      </c>
      <c r="I18" s="209">
        <f>'P&amp;L'!I17-I15</f>
        <v/>
      </c>
      <c r="J18" s="209">
        <f>'P&amp;L'!J17-J15</f>
        <v/>
      </c>
      <c r="K18" s="209">
        <f>'P&amp;L'!K17-K15</f>
        <v/>
      </c>
      <c r="L18" s="209">
        <f>'P&amp;L'!L17-L15</f>
        <v/>
      </c>
      <c r="M18" s="209">
        <f>'P&amp;L'!M17-M15</f>
        <v/>
      </c>
      <c r="N18" s="209">
        <f>'P&amp;L'!N17-N15</f>
        <v/>
      </c>
      <c r="O18" s="209">
        <f>'P&amp;L'!O17-O15</f>
        <v/>
      </c>
      <c r="P18" s="209">
        <f>'P&amp;L'!P17-P15</f>
        <v/>
      </c>
      <c r="Q18" s="209">
        <f>'P&amp;L'!Q17-Q15</f>
        <v/>
      </c>
      <c r="R18" s="209">
        <f>'P&amp;L'!R17-R15</f>
        <v/>
      </c>
      <c r="S18" s="209">
        <f>'P&amp;L'!S17-S15</f>
        <v/>
      </c>
      <c r="T18" s="209">
        <f>'P&amp;L'!T17-T15</f>
        <v/>
      </c>
      <c r="U18" s="209">
        <f>'P&amp;L'!U17-U15</f>
        <v/>
      </c>
      <c r="V18" s="209">
        <f>'P&amp;L'!V17-V15</f>
        <v/>
      </c>
      <c r="W18" s="209">
        <f>'P&amp;L'!W17-W15</f>
        <v/>
      </c>
      <c r="X18" s="209">
        <f>'P&amp;L'!X17-X15</f>
        <v/>
      </c>
      <c r="Y18" s="209">
        <f>'P&amp;L'!Y17-Y15</f>
        <v/>
      </c>
      <c r="Z18" s="209">
        <f>'P&amp;L'!Z17-Z15</f>
        <v/>
      </c>
      <c r="AA18" s="209">
        <f>'P&amp;L'!AA17-AA15</f>
        <v/>
      </c>
      <c r="AB18" s="209">
        <f>'P&amp;L'!AB17-AB15</f>
        <v/>
      </c>
      <c r="AC18" s="209">
        <f>'P&amp;L'!AC17-AC15</f>
        <v/>
      </c>
      <c r="AD18" s="209">
        <f>'P&amp;L'!AD17-AD15</f>
        <v/>
      </c>
      <c r="AE18" s="209">
        <f>'P&amp;L'!AE17-AE15</f>
        <v/>
      </c>
      <c r="AF18" s="209">
        <f>'P&amp;L'!AF17-AF15</f>
        <v/>
      </c>
      <c r="AG18" s="209">
        <f>'P&amp;L'!AG17-AG15</f>
        <v/>
      </c>
      <c r="AH18" s="209">
        <f>'P&amp;L'!AH17-AH15</f>
        <v/>
      </c>
      <c r="AI18" s="209">
        <f>'P&amp;L'!AI17-AI15</f>
        <v/>
      </c>
      <c r="AJ18" s="209">
        <f>'P&amp;L'!AJ17-AJ15</f>
        <v/>
      </c>
      <c r="AK18" s="209">
        <f>'P&amp;L'!AK17-AK15</f>
        <v/>
      </c>
    </row>
    <row r="19" ht="16" customHeight="1" s="143">
      <c r="A19" s="86" t="inlineStr">
        <is>
          <t>EBITDA (contrôle = P&amp;L)</t>
        </is>
      </c>
      <c r="B19" s="211">
        <f>B16+B18</f>
        <v/>
      </c>
      <c r="C19" s="211">
        <f>C16+C18</f>
        <v/>
      </c>
      <c r="D19" s="211">
        <f>D16+D18</f>
        <v/>
      </c>
      <c r="E19" s="211">
        <f>E16+E18</f>
        <v/>
      </c>
      <c r="F19" s="211">
        <f>F16+F18</f>
        <v/>
      </c>
      <c r="G19" s="211">
        <f>G16+G18</f>
        <v/>
      </c>
      <c r="H19" s="211">
        <f>H16+H18</f>
        <v/>
      </c>
      <c r="I19" s="211">
        <f>I16+I18</f>
        <v/>
      </c>
      <c r="J19" s="211">
        <f>J16+J18</f>
        <v/>
      </c>
      <c r="K19" s="211">
        <f>K16+K18</f>
        <v/>
      </c>
      <c r="L19" s="211">
        <f>L16+L18</f>
        <v/>
      </c>
      <c r="M19" s="211">
        <f>M16+M18</f>
        <v/>
      </c>
      <c r="N19" s="211">
        <f>N16+N18</f>
        <v/>
      </c>
      <c r="O19" s="211">
        <f>O16+O18</f>
        <v/>
      </c>
      <c r="P19" s="211">
        <f>P16+P18</f>
        <v/>
      </c>
      <c r="Q19" s="211">
        <f>Q16+Q18</f>
        <v/>
      </c>
      <c r="R19" s="211">
        <f>R16+R18</f>
        <v/>
      </c>
      <c r="S19" s="211">
        <f>S16+S18</f>
        <v/>
      </c>
      <c r="T19" s="211">
        <f>T16+T18</f>
        <v/>
      </c>
      <c r="U19" s="211">
        <f>U16+U18</f>
        <v/>
      </c>
      <c r="V19" s="211">
        <f>V16+V18</f>
        <v/>
      </c>
      <c r="W19" s="211">
        <f>W16+W18</f>
        <v/>
      </c>
      <c r="X19" s="211">
        <f>X16+X18</f>
        <v/>
      </c>
      <c r="Y19" s="211">
        <f>Y16+Y18</f>
        <v/>
      </c>
      <c r="Z19" s="211">
        <f>Z16+Z18</f>
        <v/>
      </c>
      <c r="AA19" s="211">
        <f>AA16+AA18</f>
        <v/>
      </c>
      <c r="AB19" s="211">
        <f>AB16+AB18</f>
        <v/>
      </c>
      <c r="AC19" s="211">
        <f>AC16+AC18</f>
        <v/>
      </c>
      <c r="AD19" s="211">
        <f>AD16+AD18</f>
        <v/>
      </c>
      <c r="AE19" s="211">
        <f>AE16+AE18</f>
        <v/>
      </c>
      <c r="AF19" s="211">
        <f>AF16+AF18</f>
        <v/>
      </c>
      <c r="AG19" s="211">
        <f>AG16+AG18</f>
        <v/>
      </c>
      <c r="AH19" s="211">
        <f>AH16+AH18</f>
        <v/>
      </c>
      <c r="AI19" s="211">
        <f>AI16+AI18</f>
        <v/>
      </c>
      <c r="AJ19" s="211">
        <f>AJ16+AJ18</f>
        <v/>
      </c>
      <c r="AK19" s="211">
        <f>AK16+AK18</f>
        <v/>
      </c>
    </row>
    <row r="20" ht="16" customHeight="1" s="143">
      <c r="A20" s="86" t="inlineStr">
        <is>
          <t>Écart vs P&amp;L EBITDA (doit = 0)</t>
        </is>
      </c>
      <c r="B20" s="209">
        <f>B19-'P&amp;L'!B18</f>
        <v/>
      </c>
      <c r="C20" s="209">
        <f>C19-'P&amp;L'!C18</f>
        <v/>
      </c>
      <c r="D20" s="209">
        <f>D19-'P&amp;L'!D18</f>
        <v/>
      </c>
      <c r="E20" s="209">
        <f>E19-'P&amp;L'!E18</f>
        <v/>
      </c>
      <c r="F20" s="209">
        <f>F19-'P&amp;L'!F18</f>
        <v/>
      </c>
      <c r="G20" s="209">
        <f>G19-'P&amp;L'!G18</f>
        <v/>
      </c>
      <c r="H20" s="209">
        <f>H19-'P&amp;L'!H18</f>
        <v/>
      </c>
      <c r="I20" s="209">
        <f>I19-'P&amp;L'!I18</f>
        <v/>
      </c>
      <c r="J20" s="209">
        <f>J19-'P&amp;L'!J18</f>
        <v/>
      </c>
      <c r="K20" s="209">
        <f>K19-'P&amp;L'!K18</f>
        <v/>
      </c>
      <c r="L20" s="209">
        <f>L19-'P&amp;L'!L18</f>
        <v/>
      </c>
      <c r="M20" s="209">
        <f>M19-'P&amp;L'!M18</f>
        <v/>
      </c>
      <c r="N20" s="209">
        <f>N19-'P&amp;L'!N18</f>
        <v/>
      </c>
      <c r="O20" s="209">
        <f>O19-'P&amp;L'!O18</f>
        <v/>
      </c>
      <c r="P20" s="209">
        <f>P19-'P&amp;L'!P18</f>
        <v/>
      </c>
      <c r="Q20" s="209">
        <f>Q19-'P&amp;L'!Q18</f>
        <v/>
      </c>
      <c r="R20" s="209">
        <f>R19-'P&amp;L'!R18</f>
        <v/>
      </c>
      <c r="S20" s="209">
        <f>S19-'P&amp;L'!S18</f>
        <v/>
      </c>
      <c r="T20" s="209">
        <f>T19-'P&amp;L'!T18</f>
        <v/>
      </c>
      <c r="U20" s="209">
        <f>U19-'P&amp;L'!U18</f>
        <v/>
      </c>
      <c r="V20" s="209">
        <f>V19-'P&amp;L'!V18</f>
        <v/>
      </c>
      <c r="W20" s="209">
        <f>W19-'P&amp;L'!W18</f>
        <v/>
      </c>
      <c r="X20" s="209">
        <f>X19-'P&amp;L'!X18</f>
        <v/>
      </c>
      <c r="Y20" s="209">
        <f>Y19-'P&amp;L'!Y18</f>
        <v/>
      </c>
      <c r="Z20" s="209">
        <f>Z19-'P&amp;L'!Z18</f>
        <v/>
      </c>
      <c r="AA20" s="209">
        <f>AA19-'P&amp;L'!AA18</f>
        <v/>
      </c>
      <c r="AB20" s="209">
        <f>AB19-'P&amp;L'!AB18</f>
        <v/>
      </c>
      <c r="AC20" s="209">
        <f>AC19-'P&amp;L'!AC18</f>
        <v/>
      </c>
      <c r="AD20" s="209">
        <f>AD19-'P&amp;L'!AD18</f>
        <v/>
      </c>
      <c r="AE20" s="209">
        <f>AE19-'P&amp;L'!AE18</f>
        <v/>
      </c>
      <c r="AF20" s="209">
        <f>AF19-'P&amp;L'!AF18</f>
        <v/>
      </c>
      <c r="AG20" s="209">
        <f>AG19-'P&amp;L'!AG18</f>
        <v/>
      </c>
      <c r="AH20" s="209">
        <f>AH19-'P&amp;L'!AH18</f>
        <v/>
      </c>
      <c r="AI20" s="209">
        <f>AI19-'P&amp;L'!AI18</f>
        <v/>
      </c>
      <c r="AJ20" s="209">
        <f>AJ19-'P&amp;L'!AJ18</f>
        <v/>
      </c>
      <c r="AK20" s="209">
        <f>AK19-'P&amp;L'!AK18</f>
        <v/>
      </c>
    </row>
    <row r="22" ht="36" customHeight="1" s="143">
      <c r="A22" s="144" t="inlineStr">
        <is>
          <t>Lecture : les coûts variables suivent le volume (transactions réalisées, nouveaux clients, GMV). Les OPEX fixes ne bougent qu'avec l'inflation, le scénario, le stress test et l'embauche du collab 2. Taux unitaires : Parametres section 12 ; budget pub : section 9.</t>
        </is>
      </c>
    </row>
  </sheetData>
  <mergeCells count="2">
    <mergeCell ref="A1:AK1"/>
    <mergeCell ref="A22:F22"/>
  </mergeCells>
  <conditionalFormatting sqref="B20:AK20">
    <cfRule type="expression" priority="1" dxfId="0">
      <formula>ABS(B20)&gt;1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showGridLines="0" zoomScaleNormal="100" workbookViewId="0">
      <pane xSplit="1" ySplit="3" topLeftCell="B12" activePane="bottomRight" state="frozen"/>
      <selection pane="topRight" activeCell="A1" sqref="A1"/>
      <selection pane="bottomLeft" activeCell="A4" sqref="A4"/>
      <selection pane="bottomRight" activeCell="B36" sqref="B36"/>
    </sheetView>
  </sheetViews>
  <sheetFormatPr baseColWidth="10" defaultColWidth="8.83203125" defaultRowHeight="15"/>
  <cols>
    <col width="66" customWidth="1" style="143" min="1" max="1"/>
    <col width="12" customWidth="1" style="143" min="2" max="37"/>
  </cols>
  <sheetData>
    <row r="1" ht="22" customHeight="1" s="143">
      <c r="A1" s="6" t="inlineStr">
        <is>
          <t>COMPTE DE RÉSULTAT — cascade de contribution (MGA) — M1–M36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 ht="15" customHeight="1" s="143">
      <c r="A2" s="68" t="inlineStr">
        <is>
          <t>Année</t>
        </is>
      </c>
      <c r="B2" s="71">
        <f>'Plan ventes'!B2</f>
        <v/>
      </c>
      <c r="C2" s="71">
        <f>'Plan ventes'!C2</f>
        <v/>
      </c>
      <c r="D2" s="71">
        <f>'Plan ventes'!D2</f>
        <v/>
      </c>
      <c r="E2" s="71">
        <f>'Plan ventes'!E2</f>
        <v/>
      </c>
      <c r="F2" s="71">
        <f>'Plan ventes'!F2</f>
        <v/>
      </c>
      <c r="G2" s="71">
        <f>'Plan ventes'!G2</f>
        <v/>
      </c>
      <c r="H2" s="71">
        <f>'Plan ventes'!H2</f>
        <v/>
      </c>
      <c r="I2" s="71">
        <f>'Plan ventes'!I2</f>
        <v/>
      </c>
      <c r="J2" s="71">
        <f>'Plan ventes'!J2</f>
        <v/>
      </c>
      <c r="K2" s="71">
        <f>'Plan ventes'!K2</f>
        <v/>
      </c>
      <c r="L2" s="71">
        <f>'Plan ventes'!L2</f>
        <v/>
      </c>
      <c r="M2" s="71">
        <f>'Plan ventes'!M2</f>
        <v/>
      </c>
      <c r="N2" s="71">
        <f>'Plan ventes'!N2</f>
        <v/>
      </c>
      <c r="O2" s="71">
        <f>'Plan ventes'!O2</f>
        <v/>
      </c>
      <c r="P2" s="71">
        <f>'Plan ventes'!P2</f>
        <v/>
      </c>
      <c r="Q2" s="71">
        <f>'Plan ventes'!Q2</f>
        <v/>
      </c>
      <c r="R2" s="71">
        <f>'Plan ventes'!R2</f>
        <v/>
      </c>
      <c r="S2" s="71">
        <f>'Plan ventes'!S2</f>
        <v/>
      </c>
      <c r="T2" s="71">
        <f>'Plan ventes'!T2</f>
        <v/>
      </c>
      <c r="U2" s="71">
        <f>'Plan ventes'!U2</f>
        <v/>
      </c>
      <c r="V2" s="71">
        <f>'Plan ventes'!V2</f>
        <v/>
      </c>
      <c r="W2" s="71">
        <f>'Plan ventes'!W2</f>
        <v/>
      </c>
      <c r="X2" s="71">
        <f>'Plan ventes'!X2</f>
        <v/>
      </c>
      <c r="Y2" s="71">
        <f>'Plan ventes'!Y2</f>
        <v/>
      </c>
      <c r="Z2" s="71">
        <f>'Plan ventes'!Z2</f>
        <v/>
      </c>
      <c r="AA2" s="71">
        <f>'Plan ventes'!AA2</f>
        <v/>
      </c>
      <c r="AB2" s="71">
        <f>'Plan ventes'!AB2</f>
        <v/>
      </c>
      <c r="AC2" s="71">
        <f>'Plan ventes'!AC2</f>
        <v/>
      </c>
      <c r="AD2" s="71">
        <f>'Plan ventes'!AD2</f>
        <v/>
      </c>
      <c r="AE2" s="71">
        <f>'Plan ventes'!AE2</f>
        <v/>
      </c>
      <c r="AF2" s="71">
        <f>'Plan ventes'!AF2</f>
        <v/>
      </c>
      <c r="AG2" s="71">
        <f>'Plan ventes'!AG2</f>
        <v/>
      </c>
      <c r="AH2" s="71">
        <f>'Plan ventes'!AH2</f>
        <v/>
      </c>
      <c r="AI2" s="71">
        <f>'Plan ventes'!AI2</f>
        <v/>
      </c>
      <c r="AJ2" s="71">
        <f>'Plan ventes'!AJ2</f>
        <v/>
      </c>
      <c r="AK2" s="71">
        <f>'Plan ventes'!AK2</f>
        <v/>
      </c>
    </row>
    <row r="3" ht="15" customHeight="1" s="143">
      <c r="A3" s="68" t="inlineStr">
        <is>
          <t>Mois</t>
        </is>
      </c>
      <c r="B3" s="71">
        <f>'Plan ventes'!B3</f>
        <v/>
      </c>
      <c r="C3" s="71">
        <f>'Plan ventes'!C3</f>
        <v/>
      </c>
      <c r="D3" s="71">
        <f>'Plan ventes'!D3</f>
        <v/>
      </c>
      <c r="E3" s="71">
        <f>'Plan ventes'!E3</f>
        <v/>
      </c>
      <c r="F3" s="71">
        <f>'Plan ventes'!F3</f>
        <v/>
      </c>
      <c r="G3" s="71">
        <f>'Plan ventes'!G3</f>
        <v/>
      </c>
      <c r="H3" s="71">
        <f>'Plan ventes'!H3</f>
        <v/>
      </c>
      <c r="I3" s="71">
        <f>'Plan ventes'!I3</f>
        <v/>
      </c>
      <c r="J3" s="71">
        <f>'Plan ventes'!J3</f>
        <v/>
      </c>
      <c r="K3" s="71">
        <f>'Plan ventes'!K3</f>
        <v/>
      </c>
      <c r="L3" s="71">
        <f>'Plan ventes'!L3</f>
        <v/>
      </c>
      <c r="M3" s="71">
        <f>'Plan ventes'!M3</f>
        <v/>
      </c>
      <c r="N3" s="71">
        <f>'Plan ventes'!N3</f>
        <v/>
      </c>
      <c r="O3" s="71">
        <f>'Plan ventes'!O3</f>
        <v/>
      </c>
      <c r="P3" s="71">
        <f>'Plan ventes'!P3</f>
        <v/>
      </c>
      <c r="Q3" s="71">
        <f>'Plan ventes'!Q3</f>
        <v/>
      </c>
      <c r="R3" s="71">
        <f>'Plan ventes'!R3</f>
        <v/>
      </c>
      <c r="S3" s="71">
        <f>'Plan ventes'!S3</f>
        <v/>
      </c>
      <c r="T3" s="71">
        <f>'Plan ventes'!T3</f>
        <v/>
      </c>
      <c r="U3" s="71">
        <f>'Plan ventes'!U3</f>
        <v/>
      </c>
      <c r="V3" s="71">
        <f>'Plan ventes'!V3</f>
        <v/>
      </c>
      <c r="W3" s="71">
        <f>'Plan ventes'!W3</f>
        <v/>
      </c>
      <c r="X3" s="71">
        <f>'Plan ventes'!X3</f>
        <v/>
      </c>
      <c r="Y3" s="71">
        <f>'Plan ventes'!Y3</f>
        <v/>
      </c>
      <c r="Z3" s="71">
        <f>'Plan ventes'!Z3</f>
        <v/>
      </c>
      <c r="AA3" s="71">
        <f>'Plan ventes'!AA3</f>
        <v/>
      </c>
      <c r="AB3" s="71">
        <f>'Plan ventes'!AB3</f>
        <v/>
      </c>
      <c r="AC3" s="71">
        <f>'Plan ventes'!AC3</f>
        <v/>
      </c>
      <c r="AD3" s="71">
        <f>'Plan ventes'!AD3</f>
        <v/>
      </c>
      <c r="AE3" s="71">
        <f>'Plan ventes'!AE3</f>
        <v/>
      </c>
      <c r="AF3" s="71">
        <f>'Plan ventes'!AF3</f>
        <v/>
      </c>
      <c r="AG3" s="71">
        <f>'Plan ventes'!AG3</f>
        <v/>
      </c>
      <c r="AH3" s="71">
        <f>'Plan ventes'!AH3</f>
        <v/>
      </c>
      <c r="AI3" s="71">
        <f>'Plan ventes'!AI3</f>
        <v/>
      </c>
      <c r="AJ3" s="71">
        <f>'Plan ventes'!AJ3</f>
        <v/>
      </c>
      <c r="AK3" s="71">
        <f>'Plan ventes'!AK3</f>
        <v/>
      </c>
    </row>
    <row r="5" ht="15" customHeight="1" s="143">
      <c r="A5" s="72" t="inlineStr">
        <is>
          <t>Chiffre d'affaires (commissions + abonnements)</t>
        </is>
      </c>
      <c r="B5" s="212">
        <f>'Plan ventes'!B63-IF(Parametres!$B$158=1,Parametres!$B$164*'Plan ventes'!B60,0)</f>
        <v/>
      </c>
      <c r="C5" s="212">
        <f>'Plan ventes'!C63-IF(Parametres!$B$158=1,Parametres!$B$164*'Plan ventes'!C60,0)</f>
        <v/>
      </c>
      <c r="D5" s="212">
        <f>'Plan ventes'!D63-IF(Parametres!$B$158=1,Parametres!$B$164*'Plan ventes'!D60,0)</f>
        <v/>
      </c>
      <c r="E5" s="212">
        <f>'Plan ventes'!E63-IF(Parametres!$B$158=1,Parametres!$B$164*'Plan ventes'!E60,0)</f>
        <v/>
      </c>
      <c r="F5" s="212">
        <f>'Plan ventes'!F63-IF(Parametres!$B$158=1,Parametres!$B$164*'Plan ventes'!F60,0)</f>
        <v/>
      </c>
      <c r="G5" s="212">
        <f>'Plan ventes'!G63-IF(Parametres!$B$158=1,Parametres!$B$164*'Plan ventes'!G60,0)</f>
        <v/>
      </c>
      <c r="H5" s="212">
        <f>'Plan ventes'!H63-IF(Parametres!$B$158=1,Parametres!$B$164*'Plan ventes'!H60,0)</f>
        <v/>
      </c>
      <c r="I5" s="212">
        <f>'Plan ventes'!I63-IF(Parametres!$B$158=1,Parametres!$B$164*'Plan ventes'!I60,0)</f>
        <v/>
      </c>
      <c r="J5" s="212">
        <f>'Plan ventes'!J63-IF(Parametres!$B$158=1,Parametres!$B$164*'Plan ventes'!J60,0)</f>
        <v/>
      </c>
      <c r="K5" s="212">
        <f>'Plan ventes'!K63-IF(Parametres!$B$158=1,Parametres!$B$164*'Plan ventes'!K60,0)</f>
        <v/>
      </c>
      <c r="L5" s="212">
        <f>'Plan ventes'!L63-IF(Parametres!$B$158=1,Parametres!$B$164*'Plan ventes'!L60,0)</f>
        <v/>
      </c>
      <c r="M5" s="212">
        <f>'Plan ventes'!M63-IF(Parametres!$B$158=1,Parametres!$B$164*'Plan ventes'!M60,0)</f>
        <v/>
      </c>
      <c r="N5" s="212">
        <f>'Plan ventes'!N63-IF(Parametres!$B$158=1,Parametres!$B$164*'Plan ventes'!N60,0)</f>
        <v/>
      </c>
      <c r="O5" s="212">
        <f>'Plan ventes'!O63-IF(Parametres!$B$158=1,Parametres!$B$164*'Plan ventes'!O60,0)</f>
        <v/>
      </c>
      <c r="P5" s="212">
        <f>'Plan ventes'!P63-IF(Parametres!$B$158=1,Parametres!$B$164*'Plan ventes'!P60,0)</f>
        <v/>
      </c>
      <c r="Q5" s="212">
        <f>'Plan ventes'!Q63-IF(Parametres!$B$158=1,Parametres!$B$164*'Plan ventes'!Q60,0)</f>
        <v/>
      </c>
      <c r="R5" s="212">
        <f>'Plan ventes'!R63-IF(Parametres!$B$158=1,Parametres!$B$164*'Plan ventes'!R60,0)</f>
        <v/>
      </c>
      <c r="S5" s="212">
        <f>'Plan ventes'!S63-IF(Parametres!$B$158=1,Parametres!$B$164*'Plan ventes'!S60,0)</f>
        <v/>
      </c>
      <c r="T5" s="212">
        <f>'Plan ventes'!T63-IF(Parametres!$B$158=1,Parametres!$B$164*'Plan ventes'!T60,0)</f>
        <v/>
      </c>
      <c r="U5" s="212">
        <f>'Plan ventes'!U63-IF(Parametres!$B$158=1,Parametres!$B$164*'Plan ventes'!U60,0)</f>
        <v/>
      </c>
      <c r="V5" s="212">
        <f>'Plan ventes'!V63-IF(Parametres!$B$158=1,Parametres!$B$164*'Plan ventes'!V60,0)</f>
        <v/>
      </c>
      <c r="W5" s="212">
        <f>'Plan ventes'!W63-IF(Parametres!$B$158=1,Parametres!$B$164*'Plan ventes'!W60,0)</f>
        <v/>
      </c>
      <c r="X5" s="212">
        <f>'Plan ventes'!X63-IF(Parametres!$B$158=1,Parametres!$B$164*'Plan ventes'!X60,0)</f>
        <v/>
      </c>
      <c r="Y5" s="212">
        <f>'Plan ventes'!Y63-IF(Parametres!$B$158=1,Parametres!$B$164*'Plan ventes'!Y60,0)</f>
        <v/>
      </c>
      <c r="Z5" s="212">
        <f>'Plan ventes'!Z63-IF(Parametres!$B$158=1,Parametres!$B$164*'Plan ventes'!Z60,0)</f>
        <v/>
      </c>
      <c r="AA5" s="212">
        <f>'Plan ventes'!AA63-IF(Parametres!$B$158=1,Parametres!$B$164*'Plan ventes'!AA60,0)</f>
        <v/>
      </c>
      <c r="AB5" s="212">
        <f>'Plan ventes'!AB63-IF(Parametres!$B$158=1,Parametres!$B$164*'Plan ventes'!AB60,0)</f>
        <v/>
      </c>
      <c r="AC5" s="212">
        <f>'Plan ventes'!AC63-IF(Parametres!$B$158=1,Parametres!$B$164*'Plan ventes'!AC60,0)</f>
        <v/>
      </c>
      <c r="AD5" s="212">
        <f>'Plan ventes'!AD63-IF(Parametres!$B$158=1,Parametres!$B$164*'Plan ventes'!AD60,0)</f>
        <v/>
      </c>
      <c r="AE5" s="212">
        <f>'Plan ventes'!AE63-IF(Parametres!$B$158=1,Parametres!$B$164*'Plan ventes'!AE60,0)</f>
        <v/>
      </c>
      <c r="AF5" s="212">
        <f>'Plan ventes'!AF63-IF(Parametres!$B$158=1,Parametres!$B$164*'Plan ventes'!AF60,0)</f>
        <v/>
      </c>
      <c r="AG5" s="212">
        <f>'Plan ventes'!AG63-IF(Parametres!$B$158=1,Parametres!$B$164*'Plan ventes'!AG60,0)</f>
        <v/>
      </c>
      <c r="AH5" s="212">
        <f>'Plan ventes'!AH63-IF(Parametres!$B$158=1,Parametres!$B$164*'Plan ventes'!AH60,0)</f>
        <v/>
      </c>
      <c r="AI5" s="212">
        <f>'Plan ventes'!AI63-IF(Parametres!$B$158=1,Parametres!$B$164*'Plan ventes'!AI60,0)</f>
        <v/>
      </c>
      <c r="AJ5" s="212">
        <f>'Plan ventes'!AJ63-IF(Parametres!$B$158=1,Parametres!$B$164*'Plan ventes'!AJ60,0)</f>
        <v/>
      </c>
      <c r="AK5" s="212">
        <f>'Plan ventes'!AK63-IF(Parametres!$B$158=1,Parametres!$B$164*'Plan ventes'!AK60,0)</f>
        <v/>
      </c>
    </row>
    <row r="6" ht="15" customHeight="1" s="143">
      <c r="A6" s="11" t="inlineStr">
        <is>
          <t xml:space="preserve">   dont revenus récurrents (MRR)</t>
        </is>
      </c>
      <c r="B6" s="213">
        <f>'Plan ventes'!B61</f>
        <v/>
      </c>
      <c r="C6" s="213">
        <f>'Plan ventes'!C61</f>
        <v/>
      </c>
      <c r="D6" s="213">
        <f>'Plan ventes'!D61</f>
        <v/>
      </c>
      <c r="E6" s="213">
        <f>'Plan ventes'!E61</f>
        <v/>
      </c>
      <c r="F6" s="213">
        <f>'Plan ventes'!F61</f>
        <v/>
      </c>
      <c r="G6" s="213">
        <f>'Plan ventes'!G61</f>
        <v/>
      </c>
      <c r="H6" s="213">
        <f>'Plan ventes'!H61</f>
        <v/>
      </c>
      <c r="I6" s="213">
        <f>'Plan ventes'!I61</f>
        <v/>
      </c>
      <c r="J6" s="213">
        <f>'Plan ventes'!J61</f>
        <v/>
      </c>
      <c r="K6" s="213">
        <f>'Plan ventes'!K61</f>
        <v/>
      </c>
      <c r="L6" s="213">
        <f>'Plan ventes'!L61</f>
        <v/>
      </c>
      <c r="M6" s="213">
        <f>'Plan ventes'!M61</f>
        <v/>
      </c>
      <c r="N6" s="213">
        <f>'Plan ventes'!N61</f>
        <v/>
      </c>
      <c r="O6" s="213">
        <f>'Plan ventes'!O61</f>
        <v/>
      </c>
      <c r="P6" s="213">
        <f>'Plan ventes'!P61</f>
        <v/>
      </c>
      <c r="Q6" s="213">
        <f>'Plan ventes'!Q61</f>
        <v/>
      </c>
      <c r="R6" s="213">
        <f>'Plan ventes'!R61</f>
        <v/>
      </c>
      <c r="S6" s="213">
        <f>'Plan ventes'!S61</f>
        <v/>
      </c>
      <c r="T6" s="213">
        <f>'Plan ventes'!T61</f>
        <v/>
      </c>
      <c r="U6" s="213">
        <f>'Plan ventes'!U61</f>
        <v/>
      </c>
      <c r="V6" s="213">
        <f>'Plan ventes'!V61</f>
        <v/>
      </c>
      <c r="W6" s="213">
        <f>'Plan ventes'!W61</f>
        <v/>
      </c>
      <c r="X6" s="213">
        <f>'Plan ventes'!X61</f>
        <v/>
      </c>
      <c r="Y6" s="213">
        <f>'Plan ventes'!Y61</f>
        <v/>
      </c>
      <c r="Z6" s="213">
        <f>'Plan ventes'!Z61</f>
        <v/>
      </c>
      <c r="AA6" s="213">
        <f>'Plan ventes'!AA61</f>
        <v/>
      </c>
      <c r="AB6" s="213">
        <f>'Plan ventes'!AB61</f>
        <v/>
      </c>
      <c r="AC6" s="213">
        <f>'Plan ventes'!AC61</f>
        <v/>
      </c>
      <c r="AD6" s="213">
        <f>'Plan ventes'!AD61</f>
        <v/>
      </c>
      <c r="AE6" s="213">
        <f>'Plan ventes'!AE61</f>
        <v/>
      </c>
      <c r="AF6" s="213">
        <f>'Plan ventes'!AF61</f>
        <v/>
      </c>
      <c r="AG6" s="213">
        <f>'Plan ventes'!AG61</f>
        <v/>
      </c>
      <c r="AH6" s="213">
        <f>'Plan ventes'!AH61</f>
        <v/>
      </c>
      <c r="AI6" s="213">
        <f>'Plan ventes'!AI61</f>
        <v/>
      </c>
      <c r="AJ6" s="213">
        <f>'Plan ventes'!AJ61</f>
        <v/>
      </c>
      <c r="AK6" s="213">
        <f>'Plan ventes'!AK61</f>
        <v/>
      </c>
    </row>
    <row r="7" ht="15" customHeight="1" s="143">
      <c r="A7" s="11" t="inlineStr">
        <is>
          <t>Coûts variables (Mobile Money + SMS + support + vérification + litiges)</t>
        </is>
      </c>
      <c r="B7" s="213">
        <f>-(('Plan ventes'!B17+'Plan ventes'!B23+'Plan ventes'!B43+'Plan ventes'!B56)*Parametres!$D$105+('Plan ventes'!B19+'Plan ventes'!B52)*Parametres!$D$104*(1+Parametres!$D$46)^(B$2-1)+('Plan ventes'!B64)*Parametres!$D$106+'Plan ventes'!B66*Parametres!$D$107+'Plan ventes'!B60*Parametres!$D$108)</f>
        <v/>
      </c>
      <c r="C7" s="213">
        <f>-(('Plan ventes'!C17+'Plan ventes'!C23+'Plan ventes'!C43+'Plan ventes'!C56)*Parametres!$D$105+('Plan ventes'!C19+'Plan ventes'!C52)*Parametres!$D$104*(1+Parametres!$D$46)^(C$2-1)+('Plan ventes'!C64)*Parametres!$D$106+'Plan ventes'!C66*Parametres!$D$107+'Plan ventes'!C60*Parametres!$D$108)</f>
        <v/>
      </c>
      <c r="D7" s="213">
        <f>-(('Plan ventes'!D17+'Plan ventes'!D23+'Plan ventes'!D43+'Plan ventes'!D56)*Parametres!$D$105+('Plan ventes'!D19+'Plan ventes'!D52)*Parametres!$D$104*(1+Parametres!$D$46)^(D$2-1)+('Plan ventes'!D64)*Parametres!$D$106+'Plan ventes'!D66*Parametres!$D$107+'Plan ventes'!D60*Parametres!$D$108)</f>
        <v/>
      </c>
      <c r="E7" s="213">
        <f>-(('Plan ventes'!E17+'Plan ventes'!E23+'Plan ventes'!E43+'Plan ventes'!E56)*Parametres!$D$105+('Plan ventes'!E19+'Plan ventes'!E52)*Parametres!$D$104*(1+Parametres!$D$46)^(E$2-1)+('Plan ventes'!E64)*Parametres!$D$106+'Plan ventes'!E66*Parametres!$D$107+'Plan ventes'!E60*Parametres!$D$108)</f>
        <v/>
      </c>
      <c r="F7" s="213">
        <f>-(('Plan ventes'!F17+'Plan ventes'!F23+'Plan ventes'!F43+'Plan ventes'!F56)*Parametres!$D$105+('Plan ventes'!F19+'Plan ventes'!F52)*Parametres!$D$104*(1+Parametres!$D$46)^(F$2-1)+('Plan ventes'!F64)*Parametres!$D$106+'Plan ventes'!F66*Parametres!$D$107+'Plan ventes'!F60*Parametres!$D$108)</f>
        <v/>
      </c>
      <c r="G7" s="213">
        <f>-(('Plan ventes'!G17+'Plan ventes'!G23+'Plan ventes'!G43+'Plan ventes'!G56)*Parametres!$D$105+('Plan ventes'!G19+'Plan ventes'!G52)*Parametres!$D$104*(1+Parametres!$D$46)^(G$2-1)+('Plan ventes'!G64)*Parametres!$D$106+'Plan ventes'!G66*Parametres!$D$107+'Plan ventes'!G60*Parametres!$D$108)</f>
        <v/>
      </c>
      <c r="H7" s="213">
        <f>-(('Plan ventes'!H17+'Plan ventes'!H23+'Plan ventes'!H43+'Plan ventes'!H56)*Parametres!$D$105+('Plan ventes'!H19+'Plan ventes'!H52)*Parametres!$D$104*(1+Parametres!$D$46)^(H$2-1)+('Plan ventes'!H64)*Parametres!$D$106+'Plan ventes'!H66*Parametres!$D$107+'Plan ventes'!H60*Parametres!$D$108)</f>
        <v/>
      </c>
      <c r="I7" s="213">
        <f>-(('Plan ventes'!I17+'Plan ventes'!I23+'Plan ventes'!I43+'Plan ventes'!I56)*Parametres!$D$105+('Plan ventes'!I19+'Plan ventes'!I52)*Parametres!$D$104*(1+Parametres!$D$46)^(I$2-1)+('Plan ventes'!I64)*Parametres!$D$106+'Plan ventes'!I66*Parametres!$D$107+'Plan ventes'!I60*Parametres!$D$108)</f>
        <v/>
      </c>
      <c r="J7" s="213">
        <f>-(('Plan ventes'!J17+'Plan ventes'!J23+'Plan ventes'!J43+'Plan ventes'!J56)*Parametres!$D$105+('Plan ventes'!J19+'Plan ventes'!J52)*Parametres!$D$104*(1+Parametres!$D$46)^(J$2-1)+('Plan ventes'!J64)*Parametres!$D$106+'Plan ventes'!J66*Parametres!$D$107+'Plan ventes'!J60*Parametres!$D$108)</f>
        <v/>
      </c>
      <c r="K7" s="213">
        <f>-(('Plan ventes'!K17+'Plan ventes'!K23+'Plan ventes'!K43+'Plan ventes'!K56)*Parametres!$D$105+('Plan ventes'!K19+'Plan ventes'!K52)*Parametres!$D$104*(1+Parametres!$D$46)^(K$2-1)+('Plan ventes'!K64)*Parametres!$D$106+'Plan ventes'!K66*Parametres!$D$107+'Plan ventes'!K60*Parametres!$D$108)</f>
        <v/>
      </c>
      <c r="L7" s="213">
        <f>-(('Plan ventes'!L17+'Plan ventes'!L23+'Plan ventes'!L43+'Plan ventes'!L56)*Parametres!$D$105+('Plan ventes'!L19+'Plan ventes'!L52)*Parametres!$D$104*(1+Parametres!$D$46)^(L$2-1)+('Plan ventes'!L64)*Parametres!$D$106+'Plan ventes'!L66*Parametres!$D$107+'Plan ventes'!L60*Parametres!$D$108)</f>
        <v/>
      </c>
      <c r="M7" s="213">
        <f>-(('Plan ventes'!M17+'Plan ventes'!M23+'Plan ventes'!M43+'Plan ventes'!M56)*Parametres!$D$105+('Plan ventes'!M19+'Plan ventes'!M52)*Parametres!$D$104*(1+Parametres!$D$46)^(M$2-1)+('Plan ventes'!M64)*Parametres!$D$106+'Plan ventes'!M66*Parametres!$D$107+'Plan ventes'!M60*Parametres!$D$108)</f>
        <v/>
      </c>
      <c r="N7" s="213">
        <f>-(('Plan ventes'!N17+'Plan ventes'!N23+'Plan ventes'!N43+'Plan ventes'!N56)*Parametres!$D$105+('Plan ventes'!N19+'Plan ventes'!N52)*Parametres!$D$104*(1+Parametres!$D$46)^(N$2-1)+('Plan ventes'!N64)*Parametres!$D$106+'Plan ventes'!N66*Parametres!$D$107+'Plan ventes'!N60*Parametres!$D$108)</f>
        <v/>
      </c>
      <c r="O7" s="213">
        <f>-(('Plan ventes'!O17+'Plan ventes'!O23+'Plan ventes'!O43+'Plan ventes'!O56)*Parametres!$D$105+('Plan ventes'!O19+'Plan ventes'!O52)*Parametres!$D$104*(1+Parametres!$D$46)^(O$2-1)+('Plan ventes'!O64)*Parametres!$D$106+'Plan ventes'!O66*Parametres!$D$107+'Plan ventes'!O60*Parametres!$D$108)</f>
        <v/>
      </c>
      <c r="P7" s="213">
        <f>-(('Plan ventes'!P17+'Plan ventes'!P23+'Plan ventes'!P43+'Plan ventes'!P56)*Parametres!$D$105+('Plan ventes'!P19+'Plan ventes'!P52)*Parametres!$D$104*(1+Parametres!$D$46)^(P$2-1)+('Plan ventes'!P64)*Parametres!$D$106+'Plan ventes'!P66*Parametres!$D$107+'Plan ventes'!P60*Parametres!$D$108)</f>
        <v/>
      </c>
      <c r="Q7" s="213">
        <f>-(('Plan ventes'!Q17+'Plan ventes'!Q23+'Plan ventes'!Q43+'Plan ventes'!Q56)*Parametres!$D$105+('Plan ventes'!Q19+'Plan ventes'!Q52)*Parametres!$D$104*(1+Parametres!$D$46)^(Q$2-1)+('Plan ventes'!Q64)*Parametres!$D$106+'Plan ventes'!Q66*Parametres!$D$107+'Plan ventes'!Q60*Parametres!$D$108)</f>
        <v/>
      </c>
      <c r="R7" s="213">
        <f>-(('Plan ventes'!R17+'Plan ventes'!R23+'Plan ventes'!R43+'Plan ventes'!R56)*Parametres!$D$105+('Plan ventes'!R19+'Plan ventes'!R52)*Parametres!$D$104*(1+Parametres!$D$46)^(R$2-1)+('Plan ventes'!R64)*Parametres!$D$106+'Plan ventes'!R66*Parametres!$D$107+'Plan ventes'!R60*Parametres!$D$108)</f>
        <v/>
      </c>
      <c r="S7" s="213">
        <f>-(('Plan ventes'!S17+'Plan ventes'!S23+'Plan ventes'!S43+'Plan ventes'!S56)*Parametres!$D$105+('Plan ventes'!S19+'Plan ventes'!S52)*Parametres!$D$104*(1+Parametres!$D$46)^(S$2-1)+('Plan ventes'!S64)*Parametres!$D$106+'Plan ventes'!S66*Parametres!$D$107+'Plan ventes'!S60*Parametres!$D$108)</f>
        <v/>
      </c>
      <c r="T7" s="213">
        <f>-(('Plan ventes'!T17+'Plan ventes'!T23+'Plan ventes'!T43+'Plan ventes'!T56)*Parametres!$D$105+('Plan ventes'!T19+'Plan ventes'!T52)*Parametres!$D$104*(1+Parametres!$D$46)^(T$2-1)+('Plan ventes'!T64)*Parametres!$D$106+'Plan ventes'!T66*Parametres!$D$107+'Plan ventes'!T60*Parametres!$D$108)</f>
        <v/>
      </c>
      <c r="U7" s="213">
        <f>-(('Plan ventes'!U17+'Plan ventes'!U23+'Plan ventes'!U43+'Plan ventes'!U56)*Parametres!$D$105+('Plan ventes'!U19+'Plan ventes'!U52)*Parametres!$D$104*(1+Parametres!$D$46)^(U$2-1)+('Plan ventes'!U64)*Parametres!$D$106+'Plan ventes'!U66*Parametres!$D$107+'Plan ventes'!U60*Parametres!$D$108)</f>
        <v/>
      </c>
      <c r="V7" s="213">
        <f>-(('Plan ventes'!V17+'Plan ventes'!V23+'Plan ventes'!V43+'Plan ventes'!V56)*Parametres!$D$105+('Plan ventes'!V19+'Plan ventes'!V52)*Parametres!$D$104*(1+Parametres!$D$46)^(V$2-1)+('Plan ventes'!V64)*Parametres!$D$106+'Plan ventes'!V66*Parametres!$D$107+'Plan ventes'!V60*Parametres!$D$108)</f>
        <v/>
      </c>
      <c r="W7" s="213">
        <f>-(('Plan ventes'!W17+'Plan ventes'!W23+'Plan ventes'!W43+'Plan ventes'!W56)*Parametres!$D$105+('Plan ventes'!W19+'Plan ventes'!W52)*Parametres!$D$104*(1+Parametres!$D$46)^(W$2-1)+('Plan ventes'!W64)*Parametres!$D$106+'Plan ventes'!W66*Parametres!$D$107+'Plan ventes'!W60*Parametres!$D$108)</f>
        <v/>
      </c>
      <c r="X7" s="213">
        <f>-(('Plan ventes'!X17+'Plan ventes'!X23+'Plan ventes'!X43+'Plan ventes'!X56)*Parametres!$D$105+('Plan ventes'!X19+'Plan ventes'!X52)*Parametres!$D$104*(1+Parametres!$D$46)^(X$2-1)+('Plan ventes'!X64)*Parametres!$D$106+'Plan ventes'!X66*Parametres!$D$107+'Plan ventes'!X60*Parametres!$D$108)</f>
        <v/>
      </c>
      <c r="Y7" s="213">
        <f>-(('Plan ventes'!Y17+'Plan ventes'!Y23+'Plan ventes'!Y43+'Plan ventes'!Y56)*Parametres!$D$105+('Plan ventes'!Y19+'Plan ventes'!Y52)*Parametres!$D$104*(1+Parametres!$D$46)^(Y$2-1)+('Plan ventes'!Y64)*Parametres!$D$106+'Plan ventes'!Y66*Parametres!$D$107+'Plan ventes'!Y60*Parametres!$D$108)</f>
        <v/>
      </c>
      <c r="Z7" s="213">
        <f>-(('Plan ventes'!Z17+'Plan ventes'!Z23+'Plan ventes'!Z43+'Plan ventes'!Z56)*Parametres!$D$105+('Plan ventes'!Z19+'Plan ventes'!Z52)*Parametres!$D$104*(1+Parametres!$D$46)^(Z$2-1)+('Plan ventes'!Z64)*Parametres!$D$106+'Plan ventes'!Z66*Parametres!$D$107+'Plan ventes'!Z60*Parametres!$D$108)</f>
        <v/>
      </c>
      <c r="AA7" s="213">
        <f>-(('Plan ventes'!AA17+'Plan ventes'!AA23+'Plan ventes'!AA43+'Plan ventes'!AA56)*Parametres!$D$105+('Plan ventes'!AA19+'Plan ventes'!AA52)*Parametres!$D$104*(1+Parametres!$D$46)^(AA$2-1)+('Plan ventes'!AA64)*Parametres!$D$106+'Plan ventes'!AA66*Parametres!$D$107+'Plan ventes'!AA60*Parametres!$D$108)</f>
        <v/>
      </c>
      <c r="AB7" s="213">
        <f>-(('Plan ventes'!AB17+'Plan ventes'!AB23+'Plan ventes'!AB43+'Plan ventes'!AB56)*Parametres!$D$105+('Plan ventes'!AB19+'Plan ventes'!AB52)*Parametres!$D$104*(1+Parametres!$D$46)^(AB$2-1)+('Plan ventes'!AB64)*Parametres!$D$106+'Plan ventes'!AB66*Parametres!$D$107+'Plan ventes'!AB60*Parametres!$D$108)</f>
        <v/>
      </c>
      <c r="AC7" s="213">
        <f>-(('Plan ventes'!AC17+'Plan ventes'!AC23+'Plan ventes'!AC43+'Plan ventes'!AC56)*Parametres!$D$105+('Plan ventes'!AC19+'Plan ventes'!AC52)*Parametres!$D$104*(1+Parametres!$D$46)^(AC$2-1)+('Plan ventes'!AC64)*Parametres!$D$106+'Plan ventes'!AC66*Parametres!$D$107+'Plan ventes'!AC60*Parametres!$D$108)</f>
        <v/>
      </c>
      <c r="AD7" s="213">
        <f>-(('Plan ventes'!AD17+'Plan ventes'!AD23+'Plan ventes'!AD43+'Plan ventes'!AD56)*Parametres!$D$105+('Plan ventes'!AD19+'Plan ventes'!AD52)*Parametres!$D$104*(1+Parametres!$D$46)^(AD$2-1)+('Plan ventes'!AD64)*Parametres!$D$106+'Plan ventes'!AD66*Parametres!$D$107+'Plan ventes'!AD60*Parametres!$D$108)</f>
        <v/>
      </c>
      <c r="AE7" s="213">
        <f>-(('Plan ventes'!AE17+'Plan ventes'!AE23+'Plan ventes'!AE43+'Plan ventes'!AE56)*Parametres!$D$105+('Plan ventes'!AE19+'Plan ventes'!AE52)*Parametres!$D$104*(1+Parametres!$D$46)^(AE$2-1)+('Plan ventes'!AE64)*Parametres!$D$106+'Plan ventes'!AE66*Parametres!$D$107+'Plan ventes'!AE60*Parametres!$D$108)</f>
        <v/>
      </c>
      <c r="AF7" s="213">
        <f>-(('Plan ventes'!AF17+'Plan ventes'!AF23+'Plan ventes'!AF43+'Plan ventes'!AF56)*Parametres!$D$105+('Plan ventes'!AF19+'Plan ventes'!AF52)*Parametres!$D$104*(1+Parametres!$D$46)^(AF$2-1)+('Plan ventes'!AF64)*Parametres!$D$106+'Plan ventes'!AF66*Parametres!$D$107+'Plan ventes'!AF60*Parametres!$D$108)</f>
        <v/>
      </c>
      <c r="AG7" s="213">
        <f>-(('Plan ventes'!AG17+'Plan ventes'!AG23+'Plan ventes'!AG43+'Plan ventes'!AG56)*Parametres!$D$105+('Plan ventes'!AG19+'Plan ventes'!AG52)*Parametres!$D$104*(1+Parametres!$D$46)^(AG$2-1)+('Plan ventes'!AG64)*Parametres!$D$106+'Plan ventes'!AG66*Parametres!$D$107+'Plan ventes'!AG60*Parametres!$D$108)</f>
        <v/>
      </c>
      <c r="AH7" s="213">
        <f>-(('Plan ventes'!AH17+'Plan ventes'!AH23+'Plan ventes'!AH43+'Plan ventes'!AH56)*Parametres!$D$105+('Plan ventes'!AH19+'Plan ventes'!AH52)*Parametres!$D$104*(1+Parametres!$D$46)^(AH$2-1)+('Plan ventes'!AH64)*Parametres!$D$106+'Plan ventes'!AH66*Parametres!$D$107+'Plan ventes'!AH60*Parametres!$D$108)</f>
        <v/>
      </c>
      <c r="AI7" s="213">
        <f>-(('Plan ventes'!AI17+'Plan ventes'!AI23+'Plan ventes'!AI43+'Plan ventes'!AI56)*Parametres!$D$105+('Plan ventes'!AI19+'Plan ventes'!AI52)*Parametres!$D$104*(1+Parametres!$D$46)^(AI$2-1)+('Plan ventes'!AI64)*Parametres!$D$106+'Plan ventes'!AI66*Parametres!$D$107+'Plan ventes'!AI60*Parametres!$D$108)</f>
        <v/>
      </c>
      <c r="AJ7" s="213">
        <f>-(('Plan ventes'!AJ17+'Plan ventes'!AJ23+'Plan ventes'!AJ43+'Plan ventes'!AJ56)*Parametres!$D$105+('Plan ventes'!AJ19+'Plan ventes'!AJ52)*Parametres!$D$104*(1+Parametres!$D$46)^(AJ$2-1)+('Plan ventes'!AJ64)*Parametres!$D$106+'Plan ventes'!AJ66*Parametres!$D$107+'Plan ventes'!AJ60*Parametres!$D$108)</f>
        <v/>
      </c>
      <c r="AK7" s="213">
        <f>-(('Plan ventes'!AK17+'Plan ventes'!AK23+'Plan ventes'!AK43+'Plan ventes'!AK56)*Parametres!$D$105+('Plan ventes'!AK19+'Plan ventes'!AK52)*Parametres!$D$104*(1+Parametres!$D$46)^(AK$2-1)+('Plan ventes'!AK64)*Parametres!$D$106+'Plan ventes'!AK66*Parametres!$D$107+'Plan ventes'!AK60*Parametres!$D$108)</f>
        <v/>
      </c>
    </row>
    <row r="8" ht="15" customHeight="1" s="143">
      <c r="A8" s="72" t="inlineStr">
        <is>
          <t>MARGE DE CONTRIBUTION (CA + coûts variables)</t>
        </is>
      </c>
      <c r="B8" s="214">
        <f>B5+B7</f>
        <v/>
      </c>
      <c r="C8" s="214">
        <f>C5+C7</f>
        <v/>
      </c>
      <c r="D8" s="214">
        <f>D5+D7</f>
        <v/>
      </c>
      <c r="E8" s="214">
        <f>E5+E7</f>
        <v/>
      </c>
      <c r="F8" s="214">
        <f>F5+F7</f>
        <v/>
      </c>
      <c r="G8" s="214">
        <f>G5+G7</f>
        <v/>
      </c>
      <c r="H8" s="214">
        <f>H5+H7</f>
        <v/>
      </c>
      <c r="I8" s="214">
        <f>I5+I7</f>
        <v/>
      </c>
      <c r="J8" s="214">
        <f>J5+J7</f>
        <v/>
      </c>
      <c r="K8" s="214">
        <f>K5+K7</f>
        <v/>
      </c>
      <c r="L8" s="214">
        <f>L5+L7</f>
        <v/>
      </c>
      <c r="M8" s="214">
        <f>M5+M7</f>
        <v/>
      </c>
      <c r="N8" s="214">
        <f>N5+N7</f>
        <v/>
      </c>
      <c r="O8" s="214">
        <f>O5+O7</f>
        <v/>
      </c>
      <c r="P8" s="214">
        <f>P5+P7</f>
        <v/>
      </c>
      <c r="Q8" s="214">
        <f>Q5+Q7</f>
        <v/>
      </c>
      <c r="R8" s="214">
        <f>R5+R7</f>
        <v/>
      </c>
      <c r="S8" s="214">
        <f>S5+S7</f>
        <v/>
      </c>
      <c r="T8" s="214">
        <f>T5+T7</f>
        <v/>
      </c>
      <c r="U8" s="214">
        <f>U5+U7</f>
        <v/>
      </c>
      <c r="V8" s="214">
        <f>V5+V7</f>
        <v/>
      </c>
      <c r="W8" s="214">
        <f>W5+W7</f>
        <v/>
      </c>
      <c r="X8" s="214">
        <f>X5+X7</f>
        <v/>
      </c>
      <c r="Y8" s="214">
        <f>Y5+Y7</f>
        <v/>
      </c>
      <c r="Z8" s="214">
        <f>Z5+Z7</f>
        <v/>
      </c>
      <c r="AA8" s="214">
        <f>AA5+AA7</f>
        <v/>
      </c>
      <c r="AB8" s="214">
        <f>AB5+AB7</f>
        <v/>
      </c>
      <c r="AC8" s="214">
        <f>AC5+AC7</f>
        <v/>
      </c>
      <c r="AD8" s="214">
        <f>AD5+AD7</f>
        <v/>
      </c>
      <c r="AE8" s="214">
        <f>AE5+AE7</f>
        <v/>
      </c>
      <c r="AF8" s="214">
        <f>AF5+AF7</f>
        <v/>
      </c>
      <c r="AG8" s="214">
        <f>AG5+AG7</f>
        <v/>
      </c>
      <c r="AH8" s="214">
        <f>AH5+AH7</f>
        <v/>
      </c>
      <c r="AI8" s="214">
        <f>AI5+AI7</f>
        <v/>
      </c>
      <c r="AJ8" s="214">
        <f>AJ5+AJ7</f>
        <v/>
      </c>
      <c r="AK8" s="214">
        <f>AK5+AK7</f>
        <v/>
      </c>
    </row>
    <row r="9" ht="15" customHeight="1" s="143">
      <c r="A9" s="11" t="inlineStr">
        <is>
          <t>% marge brute</t>
        </is>
      </c>
      <c r="B9" s="83">
        <f>IF(B5=0,0,B8/B5)</f>
        <v/>
      </c>
      <c r="C9" s="83">
        <f>IF(C5=0,0,C8/C5)</f>
        <v/>
      </c>
      <c r="D9" s="83">
        <f>IF(D5=0,0,D8/D5)</f>
        <v/>
      </c>
      <c r="E9" s="83">
        <f>IF(E5=0,0,E8/E5)</f>
        <v/>
      </c>
      <c r="F9" s="83">
        <f>IF(F5=0,0,F8/F5)</f>
        <v/>
      </c>
      <c r="G9" s="83">
        <f>IF(G5=0,0,G8/G5)</f>
        <v/>
      </c>
      <c r="H9" s="83">
        <f>IF(H5=0,0,H8/H5)</f>
        <v/>
      </c>
      <c r="I9" s="83">
        <f>IF(I5=0,0,I8/I5)</f>
        <v/>
      </c>
      <c r="J9" s="83">
        <f>IF(J5=0,0,J8/J5)</f>
        <v/>
      </c>
      <c r="K9" s="83">
        <f>IF(K5=0,0,K8/K5)</f>
        <v/>
      </c>
      <c r="L9" s="83">
        <f>IF(L5=0,0,L8/L5)</f>
        <v/>
      </c>
      <c r="M9" s="83">
        <f>IF(M5=0,0,M8/M5)</f>
        <v/>
      </c>
      <c r="N9" s="83">
        <f>IF(N5=0,0,N8/N5)</f>
        <v/>
      </c>
      <c r="O9" s="83">
        <f>IF(O5=0,0,O8/O5)</f>
        <v/>
      </c>
      <c r="P9" s="83">
        <f>IF(P5=0,0,P8/P5)</f>
        <v/>
      </c>
      <c r="Q9" s="83">
        <f>IF(Q5=0,0,Q8/Q5)</f>
        <v/>
      </c>
      <c r="R9" s="83">
        <f>IF(R5=0,0,R8/R5)</f>
        <v/>
      </c>
      <c r="S9" s="83">
        <f>IF(S5=0,0,S8/S5)</f>
        <v/>
      </c>
      <c r="T9" s="83">
        <f>IF(T5=0,0,T8/T5)</f>
        <v/>
      </c>
      <c r="U9" s="83">
        <f>IF(U5=0,0,U8/U5)</f>
        <v/>
      </c>
      <c r="V9" s="83">
        <f>IF(V5=0,0,V8/V5)</f>
        <v/>
      </c>
      <c r="W9" s="83">
        <f>IF(W5=0,0,W8/W5)</f>
        <v/>
      </c>
      <c r="X9" s="83">
        <f>IF(X5=0,0,X8/X5)</f>
        <v/>
      </c>
      <c r="Y9" s="83">
        <f>IF(Y5=0,0,Y8/Y5)</f>
        <v/>
      </c>
      <c r="Z9" s="83">
        <f>IF(Z5=0,0,Z8/Z5)</f>
        <v/>
      </c>
      <c r="AA9" s="83">
        <f>IF(AA5=0,0,AA8/AA5)</f>
        <v/>
      </c>
      <c r="AB9" s="83">
        <f>IF(AB5=0,0,AB8/AB5)</f>
        <v/>
      </c>
      <c r="AC9" s="83">
        <f>IF(AC5=0,0,AC8/AC5)</f>
        <v/>
      </c>
      <c r="AD9" s="83">
        <f>IF(AD5=0,0,AD8/AD5)</f>
        <v/>
      </c>
      <c r="AE9" s="83">
        <f>IF(AE5=0,0,AE8/AE5)</f>
        <v/>
      </c>
      <c r="AF9" s="83">
        <f>IF(AF5=0,0,AF8/AF5)</f>
        <v/>
      </c>
      <c r="AG9" s="83">
        <f>IF(AG5=0,0,AG8/AG5)</f>
        <v/>
      </c>
      <c r="AH9" s="83">
        <f>IF(AH5=0,0,AH8/AH5)</f>
        <v/>
      </c>
      <c r="AI9" s="83">
        <f>IF(AI5=0,0,AI8/AI5)</f>
        <v/>
      </c>
      <c r="AJ9" s="83">
        <f>IF(AJ5=0,0,AJ8/AJ5)</f>
        <v/>
      </c>
      <c r="AK9" s="83">
        <f>IF(AK5=0,0,AK8/AK5)</f>
        <v/>
      </c>
    </row>
    <row r="11" ht="15" customHeight="1" s="143">
      <c r="A11" s="11" t="inlineStr">
        <is>
          <t>Loyer et domiciliation</t>
        </is>
      </c>
      <c r="B11" s="215">
        <f>-Parametres!$D$112*(1+Parametres!$D$47)^(B$2-1)</f>
        <v/>
      </c>
      <c r="C11" s="215">
        <f>-Parametres!$D$112*(1+Parametres!$D$47)^(C$2-1)</f>
        <v/>
      </c>
      <c r="D11" s="215">
        <f>-Parametres!$D$112*(1+Parametres!$D$47)^(D$2-1)</f>
        <v/>
      </c>
      <c r="E11" s="215">
        <f>-Parametres!$D$112*(1+Parametres!$D$47)^(E$2-1)</f>
        <v/>
      </c>
      <c r="F11" s="215">
        <f>-Parametres!$D$112*(1+Parametres!$D$47)^(F$2-1)</f>
        <v/>
      </c>
      <c r="G11" s="215">
        <f>-Parametres!$D$112*(1+Parametres!$D$47)^(G$2-1)</f>
        <v/>
      </c>
      <c r="H11" s="215">
        <f>-Parametres!$D$112*(1+Parametres!$D$47)^(H$2-1)</f>
        <v/>
      </c>
      <c r="I11" s="215">
        <f>-Parametres!$D$112*(1+Parametres!$D$47)^(I$2-1)</f>
        <v/>
      </c>
      <c r="J11" s="215">
        <f>-Parametres!$D$112*(1+Parametres!$D$47)^(J$2-1)</f>
        <v/>
      </c>
      <c r="K11" s="215">
        <f>-Parametres!$D$112*(1+Parametres!$D$47)^(K$2-1)</f>
        <v/>
      </c>
      <c r="L11" s="215">
        <f>-Parametres!$D$112*(1+Parametres!$D$47)^(L$2-1)</f>
        <v/>
      </c>
      <c r="M11" s="215">
        <f>-Parametres!$D$112*(1+Parametres!$D$47)^(M$2-1)</f>
        <v/>
      </c>
      <c r="N11" s="215">
        <f>-Parametres!$D$112*(1+Parametres!$D$47)^(N$2-1)</f>
        <v/>
      </c>
      <c r="O11" s="215">
        <f>-Parametres!$D$112*(1+Parametres!$D$47)^(O$2-1)</f>
        <v/>
      </c>
      <c r="P11" s="215">
        <f>-Parametres!$D$112*(1+Parametres!$D$47)^(P$2-1)</f>
        <v/>
      </c>
      <c r="Q11" s="215">
        <f>-Parametres!$D$112*(1+Parametres!$D$47)^(Q$2-1)</f>
        <v/>
      </c>
      <c r="R11" s="215">
        <f>-Parametres!$D$112*(1+Parametres!$D$47)^(R$2-1)</f>
        <v/>
      </c>
      <c r="S11" s="215">
        <f>-Parametres!$D$112*(1+Parametres!$D$47)^(S$2-1)</f>
        <v/>
      </c>
      <c r="T11" s="215">
        <f>-Parametres!$D$112*(1+Parametres!$D$47)^(T$2-1)</f>
        <v/>
      </c>
      <c r="U11" s="215">
        <f>-Parametres!$D$112*(1+Parametres!$D$47)^(U$2-1)</f>
        <v/>
      </c>
      <c r="V11" s="215">
        <f>-Parametres!$D$112*(1+Parametres!$D$47)^(V$2-1)</f>
        <v/>
      </c>
      <c r="W11" s="215">
        <f>-Parametres!$D$112*(1+Parametres!$D$47)^(W$2-1)</f>
        <v/>
      </c>
      <c r="X11" s="215">
        <f>-Parametres!$D$112*(1+Parametres!$D$47)^(X$2-1)</f>
        <v/>
      </c>
      <c r="Y11" s="215">
        <f>-Parametres!$D$112*(1+Parametres!$D$47)^(Y$2-1)</f>
        <v/>
      </c>
      <c r="Z11" s="215">
        <f>-Parametres!$D$112*(1+Parametres!$D$47)^(Z$2-1)</f>
        <v/>
      </c>
      <c r="AA11" s="215">
        <f>-Parametres!$D$112*(1+Parametres!$D$47)^(AA$2-1)</f>
        <v/>
      </c>
      <c r="AB11" s="215">
        <f>-Parametres!$D$112*(1+Parametres!$D$47)^(AB$2-1)</f>
        <v/>
      </c>
      <c r="AC11" s="215">
        <f>-Parametres!$D$112*(1+Parametres!$D$47)^(AC$2-1)</f>
        <v/>
      </c>
      <c r="AD11" s="215">
        <f>-Parametres!$D$112*(1+Parametres!$D$47)^(AD$2-1)</f>
        <v/>
      </c>
      <c r="AE11" s="215">
        <f>-Parametres!$D$112*(1+Parametres!$D$47)^(AE$2-1)</f>
        <v/>
      </c>
      <c r="AF11" s="215">
        <f>-Parametres!$D$112*(1+Parametres!$D$47)^(AF$2-1)</f>
        <v/>
      </c>
      <c r="AG11" s="215">
        <f>-Parametres!$D$112*(1+Parametres!$D$47)^(AG$2-1)</f>
        <v/>
      </c>
      <c r="AH11" s="215">
        <f>-Parametres!$D$112*(1+Parametres!$D$47)^(AH$2-1)</f>
        <v/>
      </c>
      <c r="AI11" s="215">
        <f>-Parametres!$D$112*(1+Parametres!$D$47)^(AI$2-1)</f>
        <v/>
      </c>
      <c r="AJ11" s="215">
        <f>-Parametres!$D$112*(1+Parametres!$D$47)^(AJ$2-1)</f>
        <v/>
      </c>
      <c r="AK11" s="215">
        <f>-Parametres!$D$112*(1+Parametres!$D$47)^(AK$2-1)</f>
        <v/>
      </c>
    </row>
    <row r="12" ht="15" customHeight="1" s="143">
      <c r="A12" s="11" t="inlineStr">
        <is>
          <t>Salaires chargés — fondateur + collab 1 (+ collab 2 si actif), charges patronales incluses</t>
        </is>
      </c>
      <c r="B12" s="213">
        <f>-(((Parametres!$D$113+Parametres!$D$114)*(1+Parametres!$D$115))*(1+Parametres!$D$47)^(B$2-1)+IF('Plan ventes'!B70=1,Parametres!$D$125*(1+Parametres!$D$115)*(1+Parametres!$D$47)^(B$2-1),0))</f>
        <v/>
      </c>
      <c r="C12" s="213">
        <f>-(((Parametres!$D$113+Parametres!$D$114)*(1+Parametres!$D$115))*(1+Parametres!$D$47)^(C$2-1)+IF('Plan ventes'!C70=1,Parametres!$D$125*(1+Parametres!$D$115)*(1+Parametres!$D$47)^(C$2-1),0))</f>
        <v/>
      </c>
      <c r="D12" s="213">
        <f>-(((Parametres!$D$113+Parametres!$D$114)*(1+Parametres!$D$115))*(1+Parametres!$D$47)^(D$2-1)+IF('Plan ventes'!D70=1,Parametres!$D$125*(1+Parametres!$D$115)*(1+Parametres!$D$47)^(D$2-1),0))</f>
        <v/>
      </c>
      <c r="E12" s="213">
        <f>-(((Parametres!$D$113+Parametres!$D$114)*(1+Parametres!$D$115))*(1+Parametres!$D$47)^(E$2-1)+IF('Plan ventes'!E70=1,Parametres!$D$125*(1+Parametres!$D$115)*(1+Parametres!$D$47)^(E$2-1),0))</f>
        <v/>
      </c>
      <c r="F12" s="213">
        <f>-(((Parametres!$D$113+Parametres!$D$114)*(1+Parametres!$D$115))*(1+Parametres!$D$47)^(F$2-1)+IF('Plan ventes'!F70=1,Parametres!$D$125*(1+Parametres!$D$115)*(1+Parametres!$D$47)^(F$2-1),0))</f>
        <v/>
      </c>
      <c r="G12" s="213">
        <f>-(((Parametres!$D$113+Parametres!$D$114)*(1+Parametres!$D$115))*(1+Parametres!$D$47)^(G$2-1)+IF('Plan ventes'!G70=1,Parametres!$D$125*(1+Parametres!$D$115)*(1+Parametres!$D$47)^(G$2-1),0))</f>
        <v/>
      </c>
      <c r="H12" s="213">
        <f>-(((Parametres!$D$113+Parametres!$D$114)*(1+Parametres!$D$115))*(1+Parametres!$D$47)^(H$2-1)+IF('Plan ventes'!H70=1,Parametres!$D$125*(1+Parametres!$D$115)*(1+Parametres!$D$47)^(H$2-1),0))</f>
        <v/>
      </c>
      <c r="I12" s="213">
        <f>-(((Parametres!$D$113+Parametres!$D$114)*(1+Parametres!$D$115))*(1+Parametres!$D$47)^(I$2-1)+IF('Plan ventes'!I70=1,Parametres!$D$125*(1+Parametres!$D$115)*(1+Parametres!$D$47)^(I$2-1),0))</f>
        <v/>
      </c>
      <c r="J12" s="213">
        <f>-(((Parametres!$D$113+Parametres!$D$114)*(1+Parametres!$D$115))*(1+Parametres!$D$47)^(J$2-1)+IF('Plan ventes'!J70=1,Parametres!$D$125*(1+Parametres!$D$115)*(1+Parametres!$D$47)^(J$2-1),0))</f>
        <v/>
      </c>
      <c r="K12" s="213">
        <f>-(((Parametres!$D$113+Parametres!$D$114)*(1+Parametres!$D$115))*(1+Parametres!$D$47)^(K$2-1)+IF('Plan ventes'!K70=1,Parametres!$D$125*(1+Parametres!$D$115)*(1+Parametres!$D$47)^(K$2-1),0))</f>
        <v/>
      </c>
      <c r="L12" s="213">
        <f>-(((Parametres!$D$113+Parametres!$D$114)*(1+Parametres!$D$115))*(1+Parametres!$D$47)^(L$2-1)+IF('Plan ventes'!L70=1,Parametres!$D$125*(1+Parametres!$D$115)*(1+Parametres!$D$47)^(L$2-1),0))</f>
        <v/>
      </c>
      <c r="M12" s="213">
        <f>-(((Parametres!$D$113+Parametres!$D$114)*(1+Parametres!$D$115))*(1+Parametres!$D$47)^(M$2-1)+IF('Plan ventes'!M70=1,Parametres!$D$125*(1+Parametres!$D$115)*(1+Parametres!$D$47)^(M$2-1),0))</f>
        <v/>
      </c>
      <c r="N12" s="213">
        <f>-(((Parametres!$D$113+Parametres!$D$114)*(1+Parametres!$D$115))*(1+Parametres!$D$47)^(N$2-1)+IF('Plan ventes'!N70=1,Parametres!$D$125*(1+Parametres!$D$115)*(1+Parametres!$D$47)^(N$2-1),0))</f>
        <v/>
      </c>
      <c r="O12" s="213">
        <f>-(((Parametres!$D$113+Parametres!$D$114)*(1+Parametres!$D$115))*(1+Parametres!$D$47)^(O$2-1)+IF('Plan ventes'!O70=1,Parametres!$D$125*(1+Parametres!$D$115)*(1+Parametres!$D$47)^(O$2-1),0))</f>
        <v/>
      </c>
      <c r="P12" s="213">
        <f>-(((Parametres!$D$113+Parametres!$D$114)*(1+Parametres!$D$115))*(1+Parametres!$D$47)^(P$2-1)+IF('Plan ventes'!P70=1,Parametres!$D$125*(1+Parametres!$D$115)*(1+Parametres!$D$47)^(P$2-1),0))</f>
        <v/>
      </c>
      <c r="Q12" s="213">
        <f>-(((Parametres!$D$113+Parametres!$D$114)*(1+Parametres!$D$115))*(1+Parametres!$D$47)^(Q$2-1)+IF('Plan ventes'!Q70=1,Parametres!$D$125*(1+Parametres!$D$115)*(1+Parametres!$D$47)^(Q$2-1),0))</f>
        <v/>
      </c>
      <c r="R12" s="213">
        <f>-(((Parametres!$D$113+Parametres!$D$114)*(1+Parametres!$D$115))*(1+Parametres!$D$47)^(R$2-1)+IF('Plan ventes'!R70=1,Parametres!$D$125*(1+Parametres!$D$115)*(1+Parametres!$D$47)^(R$2-1),0))</f>
        <v/>
      </c>
      <c r="S12" s="213">
        <f>-(((Parametres!$D$113+Parametres!$D$114)*(1+Parametres!$D$115))*(1+Parametres!$D$47)^(S$2-1)+IF('Plan ventes'!S70=1,Parametres!$D$125*(1+Parametres!$D$115)*(1+Parametres!$D$47)^(S$2-1),0))</f>
        <v/>
      </c>
      <c r="T12" s="213">
        <f>-(((Parametres!$D$113+Parametres!$D$114)*(1+Parametres!$D$115))*(1+Parametres!$D$47)^(T$2-1)+IF('Plan ventes'!T70=1,Parametres!$D$125*(1+Parametres!$D$115)*(1+Parametres!$D$47)^(T$2-1),0))</f>
        <v/>
      </c>
      <c r="U12" s="213">
        <f>-(((Parametres!$D$113+Parametres!$D$114)*(1+Parametres!$D$115))*(1+Parametres!$D$47)^(U$2-1)+IF('Plan ventes'!U70=1,Parametres!$D$125*(1+Parametres!$D$115)*(1+Parametres!$D$47)^(U$2-1),0))</f>
        <v/>
      </c>
      <c r="V12" s="213">
        <f>-(((Parametres!$D$113+Parametres!$D$114)*(1+Parametres!$D$115))*(1+Parametres!$D$47)^(V$2-1)+IF('Plan ventes'!V70=1,Parametres!$D$125*(1+Parametres!$D$115)*(1+Parametres!$D$47)^(V$2-1),0))</f>
        <v/>
      </c>
      <c r="W12" s="213">
        <f>-(((Parametres!$D$113+Parametres!$D$114)*(1+Parametres!$D$115))*(1+Parametres!$D$47)^(W$2-1)+IF('Plan ventes'!W70=1,Parametres!$D$125*(1+Parametres!$D$115)*(1+Parametres!$D$47)^(W$2-1),0))</f>
        <v/>
      </c>
      <c r="X12" s="213">
        <f>-(((Parametres!$D$113+Parametres!$D$114)*(1+Parametres!$D$115))*(1+Parametres!$D$47)^(X$2-1)+IF('Plan ventes'!X70=1,Parametres!$D$125*(1+Parametres!$D$115)*(1+Parametres!$D$47)^(X$2-1),0))</f>
        <v/>
      </c>
      <c r="Y12" s="213">
        <f>-(((Parametres!$D$113+Parametres!$D$114)*(1+Parametres!$D$115))*(1+Parametres!$D$47)^(Y$2-1)+IF('Plan ventes'!Y70=1,Parametres!$D$125*(1+Parametres!$D$115)*(1+Parametres!$D$47)^(Y$2-1),0))</f>
        <v/>
      </c>
      <c r="Z12" s="213">
        <f>-(((Parametres!$D$113+Parametres!$D$114)*(1+Parametres!$D$115))*(1+Parametres!$D$47)^(Z$2-1)+IF('Plan ventes'!Z70=1,Parametres!$D$125*(1+Parametres!$D$115)*(1+Parametres!$D$47)^(Z$2-1),0))</f>
        <v/>
      </c>
      <c r="AA12" s="213">
        <f>-(((Parametres!$D$113+Parametres!$D$114)*(1+Parametres!$D$115))*(1+Parametres!$D$47)^(AA$2-1)+IF('Plan ventes'!AA70=1,Parametres!$D$125*(1+Parametres!$D$115)*(1+Parametres!$D$47)^(AA$2-1),0))</f>
        <v/>
      </c>
      <c r="AB12" s="213">
        <f>-(((Parametres!$D$113+Parametres!$D$114)*(1+Parametres!$D$115))*(1+Parametres!$D$47)^(AB$2-1)+IF('Plan ventes'!AB70=1,Parametres!$D$125*(1+Parametres!$D$115)*(1+Parametres!$D$47)^(AB$2-1),0))</f>
        <v/>
      </c>
      <c r="AC12" s="213">
        <f>-(((Parametres!$D$113+Parametres!$D$114)*(1+Parametres!$D$115))*(1+Parametres!$D$47)^(AC$2-1)+IF('Plan ventes'!AC70=1,Parametres!$D$125*(1+Parametres!$D$115)*(1+Parametres!$D$47)^(AC$2-1),0))</f>
        <v/>
      </c>
      <c r="AD12" s="213">
        <f>-(((Parametres!$D$113+Parametres!$D$114)*(1+Parametres!$D$115))*(1+Parametres!$D$47)^(AD$2-1)+IF('Plan ventes'!AD70=1,Parametres!$D$125*(1+Parametres!$D$115)*(1+Parametres!$D$47)^(AD$2-1),0))</f>
        <v/>
      </c>
      <c r="AE12" s="213">
        <f>-(((Parametres!$D$113+Parametres!$D$114)*(1+Parametres!$D$115))*(1+Parametres!$D$47)^(AE$2-1)+IF('Plan ventes'!AE70=1,Parametres!$D$125*(1+Parametres!$D$115)*(1+Parametres!$D$47)^(AE$2-1),0))</f>
        <v/>
      </c>
      <c r="AF12" s="213">
        <f>-(((Parametres!$D$113+Parametres!$D$114)*(1+Parametres!$D$115))*(1+Parametres!$D$47)^(AF$2-1)+IF('Plan ventes'!AF70=1,Parametres!$D$125*(1+Parametres!$D$115)*(1+Parametres!$D$47)^(AF$2-1),0))</f>
        <v/>
      </c>
      <c r="AG12" s="213">
        <f>-(((Parametres!$D$113+Parametres!$D$114)*(1+Parametres!$D$115))*(1+Parametres!$D$47)^(AG$2-1)+IF('Plan ventes'!AG70=1,Parametres!$D$125*(1+Parametres!$D$115)*(1+Parametres!$D$47)^(AG$2-1),0))</f>
        <v/>
      </c>
      <c r="AH12" s="213">
        <f>-(((Parametres!$D$113+Parametres!$D$114)*(1+Parametres!$D$115))*(1+Parametres!$D$47)^(AH$2-1)+IF('Plan ventes'!AH70=1,Parametres!$D$125*(1+Parametres!$D$115)*(1+Parametres!$D$47)^(AH$2-1),0))</f>
        <v/>
      </c>
      <c r="AI12" s="213">
        <f>-(((Parametres!$D$113+Parametres!$D$114)*(1+Parametres!$D$115))*(1+Parametres!$D$47)^(AI$2-1)+IF('Plan ventes'!AI70=1,Parametres!$D$125*(1+Parametres!$D$115)*(1+Parametres!$D$47)^(AI$2-1),0))</f>
        <v/>
      </c>
      <c r="AJ12" s="213">
        <f>-(((Parametres!$D$113+Parametres!$D$114)*(1+Parametres!$D$115))*(1+Parametres!$D$47)^(AJ$2-1)+IF('Plan ventes'!AJ70=1,Parametres!$D$125*(1+Parametres!$D$115)*(1+Parametres!$D$47)^(AJ$2-1),0))</f>
        <v/>
      </c>
      <c r="AK12" s="213">
        <f>-(((Parametres!$D$113+Parametres!$D$114)*(1+Parametres!$D$115))*(1+Parametres!$D$47)^(AK$2-1)+IF('Plan ventes'!AK70=1,Parametres!$D$125*(1+Parametres!$D$115)*(1+Parametres!$D$47)^(AK$2-1),0))</f>
        <v/>
      </c>
    </row>
    <row r="13" ht="15" customHeight="1" s="143">
      <c r="A13" s="11" t="inlineStr">
        <is>
          <t>Hébergement web</t>
        </is>
      </c>
      <c r="B13" s="215">
        <f>-Parametres!$D$117*(1+Parametres!$D$47)^(B$2-1)</f>
        <v/>
      </c>
      <c r="C13" s="215">
        <f>-Parametres!$D$117*(1+Parametres!$D$47)^(C$2-1)</f>
        <v/>
      </c>
      <c r="D13" s="215">
        <f>-Parametres!$D$117*(1+Parametres!$D$47)^(D$2-1)</f>
        <v/>
      </c>
      <c r="E13" s="215">
        <f>-Parametres!$D$117*(1+Parametres!$D$47)^(E$2-1)</f>
        <v/>
      </c>
      <c r="F13" s="215">
        <f>-Parametres!$D$117*(1+Parametres!$D$47)^(F$2-1)</f>
        <v/>
      </c>
      <c r="G13" s="215">
        <f>-Parametres!$D$117*(1+Parametres!$D$47)^(G$2-1)</f>
        <v/>
      </c>
      <c r="H13" s="215">
        <f>-Parametres!$D$117*(1+Parametres!$D$47)^(H$2-1)</f>
        <v/>
      </c>
      <c r="I13" s="215">
        <f>-Parametres!$D$117*(1+Parametres!$D$47)^(I$2-1)</f>
        <v/>
      </c>
      <c r="J13" s="215">
        <f>-Parametres!$D$117*(1+Parametres!$D$47)^(J$2-1)</f>
        <v/>
      </c>
      <c r="K13" s="215">
        <f>-Parametres!$D$117*(1+Parametres!$D$47)^(K$2-1)</f>
        <v/>
      </c>
      <c r="L13" s="215">
        <f>-Parametres!$D$117*(1+Parametres!$D$47)^(L$2-1)</f>
        <v/>
      </c>
      <c r="M13" s="215">
        <f>-Parametres!$D$117*(1+Parametres!$D$47)^(M$2-1)</f>
        <v/>
      </c>
      <c r="N13" s="215">
        <f>-Parametres!$D$117*(1+Parametres!$D$47)^(N$2-1)</f>
        <v/>
      </c>
      <c r="O13" s="215">
        <f>-Parametres!$D$117*(1+Parametres!$D$47)^(O$2-1)</f>
        <v/>
      </c>
      <c r="P13" s="215">
        <f>-Parametres!$D$117*(1+Parametres!$D$47)^(P$2-1)</f>
        <v/>
      </c>
      <c r="Q13" s="215">
        <f>-Parametres!$D$117*(1+Parametres!$D$47)^(Q$2-1)</f>
        <v/>
      </c>
      <c r="R13" s="215">
        <f>-Parametres!$D$117*(1+Parametres!$D$47)^(R$2-1)</f>
        <v/>
      </c>
      <c r="S13" s="215">
        <f>-Parametres!$D$117*(1+Parametres!$D$47)^(S$2-1)</f>
        <v/>
      </c>
      <c r="T13" s="215">
        <f>-Parametres!$D$117*(1+Parametres!$D$47)^(T$2-1)</f>
        <v/>
      </c>
      <c r="U13" s="215">
        <f>-Parametres!$D$117*(1+Parametres!$D$47)^(U$2-1)</f>
        <v/>
      </c>
      <c r="V13" s="215">
        <f>-Parametres!$D$117*(1+Parametres!$D$47)^(V$2-1)</f>
        <v/>
      </c>
      <c r="W13" s="215">
        <f>-Parametres!$D$117*(1+Parametres!$D$47)^(W$2-1)</f>
        <v/>
      </c>
      <c r="X13" s="215">
        <f>-Parametres!$D$117*(1+Parametres!$D$47)^(X$2-1)</f>
        <v/>
      </c>
      <c r="Y13" s="215">
        <f>-Parametres!$D$117*(1+Parametres!$D$47)^(Y$2-1)</f>
        <v/>
      </c>
      <c r="Z13" s="215">
        <f>-Parametres!$D$117*(1+Parametres!$D$47)^(Z$2-1)</f>
        <v/>
      </c>
      <c r="AA13" s="215">
        <f>-Parametres!$D$117*(1+Parametres!$D$47)^(AA$2-1)</f>
        <v/>
      </c>
      <c r="AB13" s="215">
        <f>-Parametres!$D$117*(1+Parametres!$D$47)^(AB$2-1)</f>
        <v/>
      </c>
      <c r="AC13" s="215">
        <f>-Parametres!$D$117*(1+Parametres!$D$47)^(AC$2-1)</f>
        <v/>
      </c>
      <c r="AD13" s="215">
        <f>-Parametres!$D$117*(1+Parametres!$D$47)^(AD$2-1)</f>
        <v/>
      </c>
      <c r="AE13" s="215">
        <f>-Parametres!$D$117*(1+Parametres!$D$47)^(AE$2-1)</f>
        <v/>
      </c>
      <c r="AF13" s="215">
        <f>-Parametres!$D$117*(1+Parametres!$D$47)^(AF$2-1)</f>
        <v/>
      </c>
      <c r="AG13" s="215">
        <f>-Parametres!$D$117*(1+Parametres!$D$47)^(AG$2-1)</f>
        <v/>
      </c>
      <c r="AH13" s="215">
        <f>-Parametres!$D$117*(1+Parametres!$D$47)^(AH$2-1)</f>
        <v/>
      </c>
      <c r="AI13" s="215">
        <f>-Parametres!$D$117*(1+Parametres!$D$47)^(AI$2-1)</f>
        <v/>
      </c>
      <c r="AJ13" s="215">
        <f>-Parametres!$D$117*(1+Parametres!$D$47)^(AJ$2-1)</f>
        <v/>
      </c>
      <c r="AK13" s="215">
        <f>-Parametres!$D$117*(1+Parametres!$D$47)^(AK$2-1)</f>
        <v/>
      </c>
    </row>
    <row r="14" ht="15" customHeight="1" s="143">
      <c r="A14" s="11" t="inlineStr">
        <is>
          <t>Object Storage</t>
        </is>
      </c>
      <c r="B14" s="215">
        <f>-Parametres!$D$118*(1+Parametres!$D$47)^(B$2-1)</f>
        <v/>
      </c>
      <c r="C14" s="215">
        <f>-Parametres!$D$118*(1+Parametres!$D$47)^(C$2-1)</f>
        <v/>
      </c>
      <c r="D14" s="215">
        <f>-Parametres!$D$118*(1+Parametres!$D$47)^(D$2-1)</f>
        <v/>
      </c>
      <c r="E14" s="215">
        <f>-Parametres!$D$118*(1+Parametres!$D$47)^(E$2-1)</f>
        <v/>
      </c>
      <c r="F14" s="215">
        <f>-Parametres!$D$118*(1+Parametres!$D$47)^(F$2-1)</f>
        <v/>
      </c>
      <c r="G14" s="215">
        <f>-Parametres!$D$118*(1+Parametres!$D$47)^(G$2-1)</f>
        <v/>
      </c>
      <c r="H14" s="215">
        <f>-Parametres!$D$118*(1+Parametres!$D$47)^(H$2-1)</f>
        <v/>
      </c>
      <c r="I14" s="215">
        <f>-Parametres!$D$118*(1+Parametres!$D$47)^(I$2-1)</f>
        <v/>
      </c>
      <c r="J14" s="215">
        <f>-Parametres!$D$118*(1+Parametres!$D$47)^(J$2-1)</f>
        <v/>
      </c>
      <c r="K14" s="215">
        <f>-Parametres!$D$118*(1+Parametres!$D$47)^(K$2-1)</f>
        <v/>
      </c>
      <c r="L14" s="215">
        <f>-Parametres!$D$118*(1+Parametres!$D$47)^(L$2-1)</f>
        <v/>
      </c>
      <c r="M14" s="215">
        <f>-Parametres!$D$118*(1+Parametres!$D$47)^(M$2-1)</f>
        <v/>
      </c>
      <c r="N14" s="215">
        <f>-Parametres!$D$118*(1+Parametres!$D$47)^(N$2-1)</f>
        <v/>
      </c>
      <c r="O14" s="215">
        <f>-Parametres!$D$118*(1+Parametres!$D$47)^(O$2-1)</f>
        <v/>
      </c>
      <c r="P14" s="215">
        <f>-Parametres!$D$118*(1+Parametres!$D$47)^(P$2-1)</f>
        <v/>
      </c>
      <c r="Q14" s="215">
        <f>-Parametres!$D$118*(1+Parametres!$D$47)^(Q$2-1)</f>
        <v/>
      </c>
      <c r="R14" s="215">
        <f>-Parametres!$D$118*(1+Parametres!$D$47)^(R$2-1)</f>
        <v/>
      </c>
      <c r="S14" s="215">
        <f>-Parametres!$D$118*(1+Parametres!$D$47)^(S$2-1)</f>
        <v/>
      </c>
      <c r="T14" s="215">
        <f>-Parametres!$D$118*(1+Parametres!$D$47)^(T$2-1)</f>
        <v/>
      </c>
      <c r="U14" s="215">
        <f>-Parametres!$D$118*(1+Parametres!$D$47)^(U$2-1)</f>
        <v/>
      </c>
      <c r="V14" s="215">
        <f>-Parametres!$D$118*(1+Parametres!$D$47)^(V$2-1)</f>
        <v/>
      </c>
      <c r="W14" s="215">
        <f>-Parametres!$D$118*(1+Parametres!$D$47)^(W$2-1)</f>
        <v/>
      </c>
      <c r="X14" s="215">
        <f>-Parametres!$D$118*(1+Parametres!$D$47)^(X$2-1)</f>
        <v/>
      </c>
      <c r="Y14" s="215">
        <f>-Parametres!$D$118*(1+Parametres!$D$47)^(Y$2-1)</f>
        <v/>
      </c>
      <c r="Z14" s="215">
        <f>-Parametres!$D$118*(1+Parametres!$D$47)^(Z$2-1)</f>
        <v/>
      </c>
      <c r="AA14" s="215">
        <f>-Parametres!$D$118*(1+Parametres!$D$47)^(AA$2-1)</f>
        <v/>
      </c>
      <c r="AB14" s="215">
        <f>-Parametres!$D$118*(1+Parametres!$D$47)^(AB$2-1)</f>
        <v/>
      </c>
      <c r="AC14" s="215">
        <f>-Parametres!$D$118*(1+Parametres!$D$47)^(AC$2-1)</f>
        <v/>
      </c>
      <c r="AD14" s="215">
        <f>-Parametres!$D$118*(1+Parametres!$D$47)^(AD$2-1)</f>
        <v/>
      </c>
      <c r="AE14" s="215">
        <f>-Parametres!$D$118*(1+Parametres!$D$47)^(AE$2-1)</f>
        <v/>
      </c>
      <c r="AF14" s="215">
        <f>-Parametres!$D$118*(1+Parametres!$D$47)^(AF$2-1)</f>
        <v/>
      </c>
      <c r="AG14" s="215">
        <f>-Parametres!$D$118*(1+Parametres!$D$47)^(AG$2-1)</f>
        <v/>
      </c>
      <c r="AH14" s="215">
        <f>-Parametres!$D$118*(1+Parametres!$D$47)^(AH$2-1)</f>
        <v/>
      </c>
      <c r="AI14" s="215">
        <f>-Parametres!$D$118*(1+Parametres!$D$47)^(AI$2-1)</f>
        <v/>
      </c>
      <c r="AJ14" s="215">
        <f>-Parametres!$D$118*(1+Parametres!$D$47)^(AJ$2-1)</f>
        <v/>
      </c>
      <c r="AK14" s="215">
        <f>-Parametres!$D$118*(1+Parametres!$D$47)^(AK$2-1)</f>
        <v/>
      </c>
    </row>
    <row r="15" ht="15" customHeight="1" s="143">
      <c r="A15" s="11" t="inlineStr">
        <is>
          <t>Modération</t>
        </is>
      </c>
      <c r="B15" s="215">
        <f>-Parametres!$D$119*(1+Parametres!$D$47)^(B$2-1)</f>
        <v/>
      </c>
      <c r="C15" s="215">
        <f>-Parametres!$D$119*(1+Parametres!$D$47)^(C$2-1)</f>
        <v/>
      </c>
      <c r="D15" s="215">
        <f>-Parametres!$D$119*(1+Parametres!$D$47)^(D$2-1)</f>
        <v/>
      </c>
      <c r="E15" s="215">
        <f>-Parametres!$D$119*(1+Parametres!$D$47)^(E$2-1)</f>
        <v/>
      </c>
      <c r="F15" s="215">
        <f>-Parametres!$D$119*(1+Parametres!$D$47)^(F$2-1)</f>
        <v/>
      </c>
      <c r="G15" s="215">
        <f>-Parametres!$D$119*(1+Parametres!$D$47)^(G$2-1)</f>
        <v/>
      </c>
      <c r="H15" s="215">
        <f>-Parametres!$D$119*(1+Parametres!$D$47)^(H$2-1)</f>
        <v/>
      </c>
      <c r="I15" s="215">
        <f>-Parametres!$D$119*(1+Parametres!$D$47)^(I$2-1)</f>
        <v/>
      </c>
      <c r="J15" s="215">
        <f>-Parametres!$D$119*(1+Parametres!$D$47)^(J$2-1)</f>
        <v/>
      </c>
      <c r="K15" s="215">
        <f>-Parametres!$D$119*(1+Parametres!$D$47)^(K$2-1)</f>
        <v/>
      </c>
      <c r="L15" s="215">
        <f>-Parametres!$D$119*(1+Parametres!$D$47)^(L$2-1)</f>
        <v/>
      </c>
      <c r="M15" s="215">
        <f>-Parametres!$D$119*(1+Parametres!$D$47)^(M$2-1)</f>
        <v/>
      </c>
      <c r="N15" s="215">
        <f>-Parametres!$D$119*(1+Parametres!$D$47)^(N$2-1)</f>
        <v/>
      </c>
      <c r="O15" s="215">
        <f>-Parametres!$D$119*(1+Parametres!$D$47)^(O$2-1)</f>
        <v/>
      </c>
      <c r="P15" s="215">
        <f>-Parametres!$D$119*(1+Parametres!$D$47)^(P$2-1)</f>
        <v/>
      </c>
      <c r="Q15" s="215">
        <f>-Parametres!$D$119*(1+Parametres!$D$47)^(Q$2-1)</f>
        <v/>
      </c>
      <c r="R15" s="215">
        <f>-Parametres!$D$119*(1+Parametres!$D$47)^(R$2-1)</f>
        <v/>
      </c>
      <c r="S15" s="215">
        <f>-Parametres!$D$119*(1+Parametres!$D$47)^(S$2-1)</f>
        <v/>
      </c>
      <c r="T15" s="215">
        <f>-Parametres!$D$119*(1+Parametres!$D$47)^(T$2-1)</f>
        <v/>
      </c>
      <c r="U15" s="215">
        <f>-Parametres!$D$119*(1+Parametres!$D$47)^(U$2-1)</f>
        <v/>
      </c>
      <c r="V15" s="215">
        <f>-Parametres!$D$119*(1+Parametres!$D$47)^(V$2-1)</f>
        <v/>
      </c>
      <c r="W15" s="215">
        <f>-Parametres!$D$119*(1+Parametres!$D$47)^(W$2-1)</f>
        <v/>
      </c>
      <c r="X15" s="215">
        <f>-Parametres!$D$119*(1+Parametres!$D$47)^(X$2-1)</f>
        <v/>
      </c>
      <c r="Y15" s="215">
        <f>-Parametres!$D$119*(1+Parametres!$D$47)^(Y$2-1)</f>
        <v/>
      </c>
      <c r="Z15" s="215">
        <f>-Parametres!$D$119*(1+Parametres!$D$47)^(Z$2-1)</f>
        <v/>
      </c>
      <c r="AA15" s="215">
        <f>-Parametres!$D$119*(1+Parametres!$D$47)^(AA$2-1)</f>
        <v/>
      </c>
      <c r="AB15" s="215">
        <f>-Parametres!$D$119*(1+Parametres!$D$47)^(AB$2-1)</f>
        <v/>
      </c>
      <c r="AC15" s="215">
        <f>-Parametres!$D$119*(1+Parametres!$D$47)^(AC$2-1)</f>
        <v/>
      </c>
      <c r="AD15" s="215">
        <f>-Parametres!$D$119*(1+Parametres!$D$47)^(AD$2-1)</f>
        <v/>
      </c>
      <c r="AE15" s="215">
        <f>-Parametres!$D$119*(1+Parametres!$D$47)^(AE$2-1)</f>
        <v/>
      </c>
      <c r="AF15" s="215">
        <f>-Parametres!$D$119*(1+Parametres!$D$47)^(AF$2-1)</f>
        <v/>
      </c>
      <c r="AG15" s="215">
        <f>-Parametres!$D$119*(1+Parametres!$D$47)^(AG$2-1)</f>
        <v/>
      </c>
      <c r="AH15" s="215">
        <f>-Parametres!$D$119*(1+Parametres!$D$47)^(AH$2-1)</f>
        <v/>
      </c>
      <c r="AI15" s="215">
        <f>-Parametres!$D$119*(1+Parametres!$D$47)^(AI$2-1)</f>
        <v/>
      </c>
      <c r="AJ15" s="215">
        <f>-Parametres!$D$119*(1+Parametres!$D$47)^(AJ$2-1)</f>
        <v/>
      </c>
      <c r="AK15" s="215">
        <f>-Parametres!$D$119*(1+Parametres!$D$47)^(AK$2-1)</f>
        <v/>
      </c>
    </row>
    <row r="16" ht="15" customHeight="1" s="143">
      <c r="A16" s="11" t="inlineStr">
        <is>
          <t>Marketing (accompagnement fixe + budget publicité par année)</t>
        </is>
      </c>
      <c r="B16" s="213">
        <f>-(Parametres!$D$120*(1+Parametres!$D$47)^(B$2-1)+'Plan ventes'!B6)</f>
        <v/>
      </c>
      <c r="C16" s="213">
        <f>-(Parametres!$D$120*(1+Parametres!$D$47)^(C$2-1)+'Plan ventes'!C6)</f>
        <v/>
      </c>
      <c r="D16" s="213">
        <f>-(Parametres!$D$120*(1+Parametres!$D$47)^(D$2-1)+'Plan ventes'!D6)</f>
        <v/>
      </c>
      <c r="E16" s="213">
        <f>-(Parametres!$D$120*(1+Parametres!$D$47)^(E$2-1)+'Plan ventes'!E6)</f>
        <v/>
      </c>
      <c r="F16" s="213">
        <f>-(Parametres!$D$120*(1+Parametres!$D$47)^(F$2-1)+'Plan ventes'!F6)</f>
        <v/>
      </c>
      <c r="G16" s="213">
        <f>-(Parametres!$D$120*(1+Parametres!$D$47)^(G$2-1)+'Plan ventes'!G6)</f>
        <v/>
      </c>
      <c r="H16" s="213">
        <f>-(Parametres!$D$120*(1+Parametres!$D$47)^(H$2-1)+'Plan ventes'!H6)</f>
        <v/>
      </c>
      <c r="I16" s="213">
        <f>-(Parametres!$D$120*(1+Parametres!$D$47)^(I$2-1)+'Plan ventes'!I6)</f>
        <v/>
      </c>
      <c r="J16" s="213">
        <f>-(Parametres!$D$120*(1+Parametres!$D$47)^(J$2-1)+'Plan ventes'!J6)</f>
        <v/>
      </c>
      <c r="K16" s="213">
        <f>-(Parametres!$D$120*(1+Parametres!$D$47)^(K$2-1)+'Plan ventes'!K6)</f>
        <v/>
      </c>
      <c r="L16" s="213">
        <f>-(Parametres!$D$120*(1+Parametres!$D$47)^(L$2-1)+'Plan ventes'!L6)</f>
        <v/>
      </c>
      <c r="M16" s="213">
        <f>-(Parametres!$D$120*(1+Parametres!$D$47)^(M$2-1)+'Plan ventes'!M6)</f>
        <v/>
      </c>
      <c r="N16" s="213">
        <f>-(Parametres!$D$120*(1+Parametres!$D$47)^(N$2-1)+'Plan ventes'!N6)</f>
        <v/>
      </c>
      <c r="O16" s="213">
        <f>-(Parametres!$D$120*(1+Parametres!$D$47)^(O$2-1)+'Plan ventes'!O6)</f>
        <v/>
      </c>
      <c r="P16" s="213">
        <f>-(Parametres!$D$120*(1+Parametres!$D$47)^(P$2-1)+'Plan ventes'!P6)</f>
        <v/>
      </c>
      <c r="Q16" s="213">
        <f>-(Parametres!$D$120*(1+Parametres!$D$47)^(Q$2-1)+'Plan ventes'!Q6)</f>
        <v/>
      </c>
      <c r="R16" s="213">
        <f>-(Parametres!$D$120*(1+Parametres!$D$47)^(R$2-1)+'Plan ventes'!R6)</f>
        <v/>
      </c>
      <c r="S16" s="213">
        <f>-(Parametres!$D$120*(1+Parametres!$D$47)^(S$2-1)+'Plan ventes'!S6)</f>
        <v/>
      </c>
      <c r="T16" s="213">
        <f>-(Parametres!$D$120*(1+Parametres!$D$47)^(T$2-1)+'Plan ventes'!T6)</f>
        <v/>
      </c>
      <c r="U16" s="213">
        <f>-(Parametres!$D$120*(1+Parametres!$D$47)^(U$2-1)+'Plan ventes'!U6)</f>
        <v/>
      </c>
      <c r="V16" s="213">
        <f>-(Parametres!$D$120*(1+Parametres!$D$47)^(V$2-1)+'Plan ventes'!V6)</f>
        <v/>
      </c>
      <c r="W16" s="213">
        <f>-(Parametres!$D$120*(1+Parametres!$D$47)^(W$2-1)+'Plan ventes'!W6)</f>
        <v/>
      </c>
      <c r="X16" s="213">
        <f>-(Parametres!$D$120*(1+Parametres!$D$47)^(X$2-1)+'Plan ventes'!X6)</f>
        <v/>
      </c>
      <c r="Y16" s="213">
        <f>-(Parametres!$D$120*(1+Parametres!$D$47)^(Y$2-1)+'Plan ventes'!Y6)</f>
        <v/>
      </c>
      <c r="Z16" s="213">
        <f>-(Parametres!$D$120*(1+Parametres!$D$47)^(Z$2-1)+'Plan ventes'!Z6)</f>
        <v/>
      </c>
      <c r="AA16" s="213">
        <f>-(Parametres!$D$120*(1+Parametres!$D$47)^(AA$2-1)+'Plan ventes'!AA6)</f>
        <v/>
      </c>
      <c r="AB16" s="213">
        <f>-(Parametres!$D$120*(1+Parametres!$D$47)^(AB$2-1)+'Plan ventes'!AB6)</f>
        <v/>
      </c>
      <c r="AC16" s="213">
        <f>-(Parametres!$D$120*(1+Parametres!$D$47)^(AC$2-1)+'Plan ventes'!AC6)</f>
        <v/>
      </c>
      <c r="AD16" s="213">
        <f>-(Parametres!$D$120*(1+Parametres!$D$47)^(AD$2-1)+'Plan ventes'!AD6)</f>
        <v/>
      </c>
      <c r="AE16" s="213">
        <f>-(Parametres!$D$120*(1+Parametres!$D$47)^(AE$2-1)+'Plan ventes'!AE6)</f>
        <v/>
      </c>
      <c r="AF16" s="213">
        <f>-(Parametres!$D$120*(1+Parametres!$D$47)^(AF$2-1)+'Plan ventes'!AF6)</f>
        <v/>
      </c>
      <c r="AG16" s="213">
        <f>-(Parametres!$D$120*(1+Parametres!$D$47)^(AG$2-1)+'Plan ventes'!AG6)</f>
        <v/>
      </c>
      <c r="AH16" s="213">
        <f>-(Parametres!$D$120*(1+Parametres!$D$47)^(AH$2-1)+'Plan ventes'!AH6)</f>
        <v/>
      </c>
      <c r="AI16" s="213">
        <f>-(Parametres!$D$120*(1+Parametres!$D$47)^(AI$2-1)+'Plan ventes'!AI6)</f>
        <v/>
      </c>
      <c r="AJ16" s="213">
        <f>-(Parametres!$D$120*(1+Parametres!$D$47)^(AJ$2-1)+'Plan ventes'!AJ6)</f>
        <v/>
      </c>
      <c r="AK16" s="213">
        <f>-(Parametres!$D$120*(1+Parametres!$D$47)^(AK$2-1)+'Plan ventes'!AK6)</f>
        <v/>
      </c>
    </row>
    <row r="17" ht="15" customHeight="1" s="143">
      <c r="A17" s="72" t="inlineStr">
        <is>
          <t>Total OPEX</t>
        </is>
      </c>
      <c r="B17" s="214">
        <f>SUM(B11:B16)</f>
        <v/>
      </c>
      <c r="C17" s="214">
        <f>SUM(C11:C16)</f>
        <v/>
      </c>
      <c r="D17" s="214">
        <f>SUM(D11:D16)</f>
        <v/>
      </c>
      <c r="E17" s="214">
        <f>SUM(E11:E16)</f>
        <v/>
      </c>
      <c r="F17" s="214">
        <f>SUM(F11:F16)</f>
        <v/>
      </c>
      <c r="G17" s="214">
        <f>SUM(G11:G16)</f>
        <v/>
      </c>
      <c r="H17" s="214">
        <f>SUM(H11:H16)</f>
        <v/>
      </c>
      <c r="I17" s="214">
        <f>SUM(I11:I16)</f>
        <v/>
      </c>
      <c r="J17" s="214">
        <f>SUM(J11:J16)</f>
        <v/>
      </c>
      <c r="K17" s="214">
        <f>SUM(K11:K16)</f>
        <v/>
      </c>
      <c r="L17" s="214">
        <f>SUM(L11:L16)</f>
        <v/>
      </c>
      <c r="M17" s="214">
        <f>SUM(M11:M16)</f>
        <v/>
      </c>
      <c r="N17" s="214">
        <f>SUM(N11:N16)</f>
        <v/>
      </c>
      <c r="O17" s="214">
        <f>SUM(O11:O16)</f>
        <v/>
      </c>
      <c r="P17" s="214">
        <f>SUM(P11:P16)</f>
        <v/>
      </c>
      <c r="Q17" s="214">
        <f>SUM(Q11:Q16)</f>
        <v/>
      </c>
      <c r="R17" s="214">
        <f>SUM(R11:R16)</f>
        <v/>
      </c>
      <c r="S17" s="214">
        <f>SUM(S11:S16)</f>
        <v/>
      </c>
      <c r="T17" s="214">
        <f>SUM(T11:T16)</f>
        <v/>
      </c>
      <c r="U17" s="214">
        <f>SUM(U11:U16)</f>
        <v/>
      </c>
      <c r="V17" s="214">
        <f>SUM(V11:V16)</f>
        <v/>
      </c>
      <c r="W17" s="214">
        <f>SUM(W11:W16)</f>
        <v/>
      </c>
      <c r="X17" s="214">
        <f>SUM(X11:X16)</f>
        <v/>
      </c>
      <c r="Y17" s="214">
        <f>SUM(Y11:Y16)</f>
        <v/>
      </c>
      <c r="Z17" s="214">
        <f>SUM(Z11:Z16)</f>
        <v/>
      </c>
      <c r="AA17" s="214">
        <f>SUM(AA11:AA16)</f>
        <v/>
      </c>
      <c r="AB17" s="214">
        <f>SUM(AB11:AB16)</f>
        <v/>
      </c>
      <c r="AC17" s="214">
        <f>SUM(AC11:AC16)</f>
        <v/>
      </c>
      <c r="AD17" s="214">
        <f>SUM(AD11:AD16)</f>
        <v/>
      </c>
      <c r="AE17" s="214">
        <f>SUM(AE11:AE16)</f>
        <v/>
      </c>
      <c r="AF17" s="214">
        <f>SUM(AF11:AF16)</f>
        <v/>
      </c>
      <c r="AG17" s="214">
        <f>SUM(AG11:AG16)</f>
        <v/>
      </c>
      <c r="AH17" s="214">
        <f>SUM(AH11:AH16)</f>
        <v/>
      </c>
      <c r="AI17" s="214">
        <f>SUM(AI11:AI16)</f>
        <v/>
      </c>
      <c r="AJ17" s="214">
        <f>SUM(AJ11:AJ16)</f>
        <v/>
      </c>
      <c r="AK17" s="214">
        <f>SUM(AK11:AK16)</f>
        <v/>
      </c>
    </row>
    <row r="18" ht="15" customHeight="1" s="143">
      <c r="A18" s="72" t="inlineStr">
        <is>
          <t>EBITDA</t>
        </is>
      </c>
      <c r="B18" s="214">
        <f>B8+B17</f>
        <v/>
      </c>
      <c r="C18" s="214">
        <f>C8+C17</f>
        <v/>
      </c>
      <c r="D18" s="214">
        <f>D8+D17</f>
        <v/>
      </c>
      <c r="E18" s="214">
        <f>E8+E17</f>
        <v/>
      </c>
      <c r="F18" s="214">
        <f>F8+F17</f>
        <v/>
      </c>
      <c r="G18" s="214">
        <f>G8+G17</f>
        <v/>
      </c>
      <c r="H18" s="214">
        <f>H8+H17</f>
        <v/>
      </c>
      <c r="I18" s="214">
        <f>I8+I17</f>
        <v/>
      </c>
      <c r="J18" s="214">
        <f>J8+J17</f>
        <v/>
      </c>
      <c r="K18" s="214">
        <f>K8+K17</f>
        <v/>
      </c>
      <c r="L18" s="214">
        <f>L8+L17</f>
        <v/>
      </c>
      <c r="M18" s="214">
        <f>M8+M17</f>
        <v/>
      </c>
      <c r="N18" s="214">
        <f>N8+N17</f>
        <v/>
      </c>
      <c r="O18" s="214">
        <f>O8+O17</f>
        <v/>
      </c>
      <c r="P18" s="214">
        <f>P8+P17</f>
        <v/>
      </c>
      <c r="Q18" s="214">
        <f>Q8+Q17</f>
        <v/>
      </c>
      <c r="R18" s="214">
        <f>R8+R17</f>
        <v/>
      </c>
      <c r="S18" s="214">
        <f>S8+S17</f>
        <v/>
      </c>
      <c r="T18" s="214">
        <f>T8+T17</f>
        <v/>
      </c>
      <c r="U18" s="214">
        <f>U8+U17</f>
        <v/>
      </c>
      <c r="V18" s="214">
        <f>V8+V17</f>
        <v/>
      </c>
      <c r="W18" s="214">
        <f>W8+W17</f>
        <v/>
      </c>
      <c r="X18" s="214">
        <f>X8+X17</f>
        <v/>
      </c>
      <c r="Y18" s="214">
        <f>Y8+Y17</f>
        <v/>
      </c>
      <c r="Z18" s="214">
        <f>Z8+Z17</f>
        <v/>
      </c>
      <c r="AA18" s="214">
        <f>AA8+AA17</f>
        <v/>
      </c>
      <c r="AB18" s="214">
        <f>AB8+AB17</f>
        <v/>
      </c>
      <c r="AC18" s="214">
        <f>AC8+AC17</f>
        <v/>
      </c>
      <c r="AD18" s="214">
        <f>AD8+AD17</f>
        <v/>
      </c>
      <c r="AE18" s="214">
        <f>AE8+AE17</f>
        <v/>
      </c>
      <c r="AF18" s="214">
        <f>AF8+AF17</f>
        <v/>
      </c>
      <c r="AG18" s="214">
        <f>AG8+AG17</f>
        <v/>
      </c>
      <c r="AH18" s="214">
        <f>AH8+AH17</f>
        <v/>
      </c>
      <c r="AI18" s="214">
        <f>AI8+AI17</f>
        <v/>
      </c>
      <c r="AJ18" s="214">
        <f>AJ8+AJ17</f>
        <v/>
      </c>
      <c r="AK18" s="214">
        <f>AK8+AK17</f>
        <v/>
      </c>
    </row>
    <row r="19" ht="15" customHeight="1" s="143">
      <c r="A19" s="11" t="inlineStr">
        <is>
          <t>% EBITDA</t>
        </is>
      </c>
      <c r="B19" s="83">
        <f>IF(B5=0,0,B18/B5)</f>
        <v/>
      </c>
      <c r="C19" s="83">
        <f>IF(C5=0,0,C18/C5)</f>
        <v/>
      </c>
      <c r="D19" s="83">
        <f>IF(D5=0,0,D18/D5)</f>
        <v/>
      </c>
      <c r="E19" s="83">
        <f>IF(E5=0,0,E18/E5)</f>
        <v/>
      </c>
      <c r="F19" s="83">
        <f>IF(F5=0,0,F18/F5)</f>
        <v/>
      </c>
      <c r="G19" s="83">
        <f>IF(G5=0,0,G18/G5)</f>
        <v/>
      </c>
      <c r="H19" s="83">
        <f>IF(H5=0,0,H18/H5)</f>
        <v/>
      </c>
      <c r="I19" s="83">
        <f>IF(I5=0,0,I18/I5)</f>
        <v/>
      </c>
      <c r="J19" s="83">
        <f>IF(J5=0,0,J18/J5)</f>
        <v/>
      </c>
      <c r="K19" s="83">
        <f>IF(K5=0,0,K18/K5)</f>
        <v/>
      </c>
      <c r="L19" s="83">
        <f>IF(L5=0,0,L18/L5)</f>
        <v/>
      </c>
      <c r="M19" s="83">
        <f>IF(M5=0,0,M18/M5)</f>
        <v/>
      </c>
      <c r="N19" s="83">
        <f>IF(N5=0,0,N18/N5)</f>
        <v/>
      </c>
      <c r="O19" s="83">
        <f>IF(O5=0,0,O18/O5)</f>
        <v/>
      </c>
      <c r="P19" s="83">
        <f>IF(P5=0,0,P18/P5)</f>
        <v/>
      </c>
      <c r="Q19" s="83">
        <f>IF(Q5=0,0,Q18/Q5)</f>
        <v/>
      </c>
      <c r="R19" s="83">
        <f>IF(R5=0,0,R18/R5)</f>
        <v/>
      </c>
      <c r="S19" s="83">
        <f>IF(S5=0,0,S18/S5)</f>
        <v/>
      </c>
      <c r="T19" s="83">
        <f>IF(T5=0,0,T18/T5)</f>
        <v/>
      </c>
      <c r="U19" s="83">
        <f>IF(U5=0,0,U18/U5)</f>
        <v/>
      </c>
      <c r="V19" s="83">
        <f>IF(V5=0,0,V18/V5)</f>
        <v/>
      </c>
      <c r="W19" s="83">
        <f>IF(W5=0,0,W18/W5)</f>
        <v/>
      </c>
      <c r="X19" s="83">
        <f>IF(X5=0,0,X18/X5)</f>
        <v/>
      </c>
      <c r="Y19" s="83">
        <f>IF(Y5=0,0,Y18/Y5)</f>
        <v/>
      </c>
      <c r="Z19" s="83">
        <f>IF(Z5=0,0,Z18/Z5)</f>
        <v/>
      </c>
      <c r="AA19" s="83">
        <f>IF(AA5=0,0,AA18/AA5)</f>
        <v/>
      </c>
      <c r="AB19" s="83">
        <f>IF(AB5=0,0,AB18/AB5)</f>
        <v/>
      </c>
      <c r="AC19" s="83">
        <f>IF(AC5=0,0,AC18/AC5)</f>
        <v/>
      </c>
      <c r="AD19" s="83">
        <f>IF(AD5=0,0,AD18/AD5)</f>
        <v/>
      </c>
      <c r="AE19" s="83">
        <f>IF(AE5=0,0,AE18/AE5)</f>
        <v/>
      </c>
      <c r="AF19" s="83">
        <f>IF(AF5=0,0,AF18/AF5)</f>
        <v/>
      </c>
      <c r="AG19" s="83">
        <f>IF(AG5=0,0,AG18/AG5)</f>
        <v/>
      </c>
      <c r="AH19" s="83">
        <f>IF(AH5=0,0,AH18/AH5)</f>
        <v/>
      </c>
      <c r="AI19" s="83">
        <f>IF(AI5=0,0,AI18/AI5)</f>
        <v/>
      </c>
      <c r="AJ19" s="83">
        <f>IF(AJ5=0,0,AJ18/AJ5)</f>
        <v/>
      </c>
      <c r="AK19" s="83">
        <f>IF(AK5=0,0,AK18/AK5)</f>
        <v/>
      </c>
    </row>
    <row r="20" ht="15" customHeight="1" s="143">
      <c r="A20" s="11" t="inlineStr">
        <is>
          <t>Dotations aux amortissements</t>
        </is>
      </c>
      <c r="B20" s="215">
        <f>-Amortissements!$H$6</f>
        <v/>
      </c>
      <c r="C20" s="215">
        <f>-Amortissements!$H$6</f>
        <v/>
      </c>
      <c r="D20" s="215">
        <f>-Amortissements!$H$6</f>
        <v/>
      </c>
      <c r="E20" s="215">
        <f>-Amortissements!$H$6</f>
        <v/>
      </c>
      <c r="F20" s="215">
        <f>-Amortissements!$H$6</f>
        <v/>
      </c>
      <c r="G20" s="215">
        <f>-Amortissements!$H$6</f>
        <v/>
      </c>
      <c r="H20" s="215">
        <f>-Amortissements!$H$6</f>
        <v/>
      </c>
      <c r="I20" s="215">
        <f>-Amortissements!$H$6</f>
        <v/>
      </c>
      <c r="J20" s="215">
        <f>-Amortissements!$H$6</f>
        <v/>
      </c>
      <c r="K20" s="215">
        <f>-Amortissements!$H$6</f>
        <v/>
      </c>
      <c r="L20" s="215">
        <f>-Amortissements!$H$6</f>
        <v/>
      </c>
      <c r="M20" s="215">
        <f>-Amortissements!$H$6</f>
        <v/>
      </c>
      <c r="N20" s="215">
        <f>-Amortissements!$H$6</f>
        <v/>
      </c>
      <c r="O20" s="215">
        <f>-Amortissements!$H$6</f>
        <v/>
      </c>
      <c r="P20" s="215">
        <f>-Amortissements!$H$6</f>
        <v/>
      </c>
      <c r="Q20" s="215">
        <f>-Amortissements!$H$6</f>
        <v/>
      </c>
      <c r="R20" s="215">
        <f>-Amortissements!$H$6</f>
        <v/>
      </c>
      <c r="S20" s="215">
        <f>-Amortissements!$H$6</f>
        <v/>
      </c>
      <c r="T20" s="215">
        <f>-Amortissements!$H$6</f>
        <v/>
      </c>
      <c r="U20" s="215">
        <f>-Amortissements!$H$6</f>
        <v/>
      </c>
      <c r="V20" s="215">
        <f>-Amortissements!$H$6</f>
        <v/>
      </c>
      <c r="W20" s="215">
        <f>-Amortissements!$H$6</f>
        <v/>
      </c>
      <c r="X20" s="215">
        <f>-Amortissements!$H$6</f>
        <v/>
      </c>
      <c r="Y20" s="215">
        <f>-Amortissements!$H$6</f>
        <v/>
      </c>
      <c r="Z20" s="215">
        <f>-Amortissements!$H$6</f>
        <v/>
      </c>
      <c r="AA20" s="215">
        <f>-Amortissements!$H$6</f>
        <v/>
      </c>
      <c r="AB20" s="215">
        <f>-Amortissements!$H$6</f>
        <v/>
      </c>
      <c r="AC20" s="215">
        <f>-Amortissements!$H$6</f>
        <v/>
      </c>
      <c r="AD20" s="215">
        <f>-Amortissements!$H$6</f>
        <v/>
      </c>
      <c r="AE20" s="215">
        <f>-Amortissements!$H$6</f>
        <v/>
      </c>
      <c r="AF20" s="215">
        <f>-Amortissements!$H$6</f>
        <v/>
      </c>
      <c r="AG20" s="215">
        <f>-Amortissements!$H$6</f>
        <v/>
      </c>
      <c r="AH20" s="215">
        <f>-Amortissements!$H$6</f>
        <v/>
      </c>
      <c r="AI20" s="215">
        <f>-Amortissements!$H$6</f>
        <v/>
      </c>
      <c r="AJ20" s="215">
        <f>-Amortissements!$H$6</f>
        <v/>
      </c>
      <c r="AK20" s="215">
        <f>-Amortissements!$H$6</f>
        <v/>
      </c>
    </row>
    <row r="21" ht="15" customHeight="1" s="143">
      <c r="A21" s="72" t="inlineStr">
        <is>
          <t>RÉSULTAT OPÉRATIONNEL (EBIT)</t>
        </is>
      </c>
      <c r="B21" s="214">
        <f>B18+B20</f>
        <v/>
      </c>
      <c r="C21" s="214">
        <f>C18+C20</f>
        <v/>
      </c>
      <c r="D21" s="214">
        <f>D18+D20</f>
        <v/>
      </c>
      <c r="E21" s="214">
        <f>E18+E20</f>
        <v/>
      </c>
      <c r="F21" s="214">
        <f>F18+F20</f>
        <v/>
      </c>
      <c r="G21" s="214">
        <f>G18+G20</f>
        <v/>
      </c>
      <c r="H21" s="214">
        <f>H18+H20</f>
        <v/>
      </c>
      <c r="I21" s="214">
        <f>I18+I20</f>
        <v/>
      </c>
      <c r="J21" s="214">
        <f>J18+J20</f>
        <v/>
      </c>
      <c r="K21" s="214">
        <f>K18+K20</f>
        <v/>
      </c>
      <c r="L21" s="214">
        <f>L18+L20</f>
        <v/>
      </c>
      <c r="M21" s="214">
        <f>M18+M20</f>
        <v/>
      </c>
      <c r="N21" s="214">
        <f>N18+N20</f>
        <v/>
      </c>
      <c r="O21" s="214">
        <f>O18+O20</f>
        <v/>
      </c>
      <c r="P21" s="214">
        <f>P18+P20</f>
        <v/>
      </c>
      <c r="Q21" s="214">
        <f>Q18+Q20</f>
        <v/>
      </c>
      <c r="R21" s="214">
        <f>R18+R20</f>
        <v/>
      </c>
      <c r="S21" s="214">
        <f>S18+S20</f>
        <v/>
      </c>
      <c r="T21" s="214">
        <f>T18+T20</f>
        <v/>
      </c>
      <c r="U21" s="214">
        <f>U18+U20</f>
        <v/>
      </c>
      <c r="V21" s="214">
        <f>V18+V20</f>
        <v/>
      </c>
      <c r="W21" s="214">
        <f>W18+W20</f>
        <v/>
      </c>
      <c r="X21" s="214">
        <f>X18+X20</f>
        <v/>
      </c>
      <c r="Y21" s="214">
        <f>Y18+Y20</f>
        <v/>
      </c>
      <c r="Z21" s="214">
        <f>Z18+Z20</f>
        <v/>
      </c>
      <c r="AA21" s="214">
        <f>AA18+AA20</f>
        <v/>
      </c>
      <c r="AB21" s="214">
        <f>AB18+AB20</f>
        <v/>
      </c>
      <c r="AC21" s="214">
        <f>AC18+AC20</f>
        <v/>
      </c>
      <c r="AD21" s="214">
        <f>AD18+AD20</f>
        <v/>
      </c>
      <c r="AE21" s="214">
        <f>AE18+AE20</f>
        <v/>
      </c>
      <c r="AF21" s="214">
        <f>AF18+AF20</f>
        <v/>
      </c>
      <c r="AG21" s="214">
        <f>AG18+AG20</f>
        <v/>
      </c>
      <c r="AH21" s="214">
        <f>AH18+AH20</f>
        <v/>
      </c>
      <c r="AI21" s="214">
        <f>AI18+AI20</f>
        <v/>
      </c>
      <c r="AJ21" s="214">
        <f>AJ18+AJ20</f>
        <v/>
      </c>
      <c r="AK21" s="214">
        <f>AK18+AK20</f>
        <v/>
      </c>
    </row>
    <row r="22" ht="15" customHeight="1" s="143">
      <c r="A22" s="11" t="inlineStr">
        <is>
          <t>Charges financières (intérêts d'emprunt)</t>
        </is>
      </c>
      <c r="B22" s="215">
        <f>-Financement!C32</f>
        <v/>
      </c>
      <c r="C22" s="215">
        <f>-Financement!D32</f>
        <v/>
      </c>
      <c r="D22" s="215">
        <f>-Financement!E32</f>
        <v/>
      </c>
      <c r="E22" s="215">
        <f>-Financement!F32</f>
        <v/>
      </c>
      <c r="F22" s="215">
        <f>-Financement!G32</f>
        <v/>
      </c>
      <c r="G22" s="215">
        <f>-Financement!H32</f>
        <v/>
      </c>
      <c r="H22" s="215">
        <f>-Financement!I32</f>
        <v/>
      </c>
      <c r="I22" s="215">
        <f>-Financement!J32</f>
        <v/>
      </c>
      <c r="J22" s="215">
        <f>-Financement!K32</f>
        <v/>
      </c>
      <c r="K22" s="215">
        <f>-Financement!L32</f>
        <v/>
      </c>
      <c r="L22" s="215">
        <f>-Financement!M32</f>
        <v/>
      </c>
      <c r="M22" s="215">
        <f>-Financement!N32</f>
        <v/>
      </c>
      <c r="N22" s="215">
        <f>-Financement!O32</f>
        <v/>
      </c>
      <c r="O22" s="215">
        <f>-Financement!P32</f>
        <v/>
      </c>
      <c r="P22" s="215">
        <f>-Financement!Q32</f>
        <v/>
      </c>
      <c r="Q22" s="215">
        <f>-Financement!R32</f>
        <v/>
      </c>
      <c r="R22" s="215">
        <f>-Financement!S32</f>
        <v/>
      </c>
      <c r="S22" s="215">
        <f>-Financement!T32</f>
        <v/>
      </c>
      <c r="T22" s="215">
        <f>-Financement!U32</f>
        <v/>
      </c>
      <c r="U22" s="215">
        <f>-Financement!V32</f>
        <v/>
      </c>
      <c r="V22" s="215">
        <f>-Financement!W32</f>
        <v/>
      </c>
      <c r="W22" s="215">
        <f>-Financement!X32</f>
        <v/>
      </c>
      <c r="X22" s="215">
        <f>-Financement!Y32</f>
        <v/>
      </c>
      <c r="Y22" s="215">
        <f>-Financement!Z32</f>
        <v/>
      </c>
      <c r="Z22" s="215">
        <f>-Financement!AA32</f>
        <v/>
      </c>
      <c r="AA22" s="215">
        <f>-Financement!AB32</f>
        <v/>
      </c>
      <c r="AB22" s="215">
        <f>-Financement!AC32</f>
        <v/>
      </c>
      <c r="AC22" s="215">
        <f>-Financement!AD32</f>
        <v/>
      </c>
      <c r="AD22" s="215">
        <f>-Financement!AE32</f>
        <v/>
      </c>
      <c r="AE22" s="215">
        <f>-Financement!AF32</f>
        <v/>
      </c>
      <c r="AF22" s="215">
        <f>-Financement!AG32</f>
        <v/>
      </c>
      <c r="AG22" s="215">
        <f>-Financement!AH32</f>
        <v/>
      </c>
      <c r="AH22" s="215">
        <f>-Financement!AI32</f>
        <v/>
      </c>
      <c r="AI22" s="215">
        <f>-Financement!AJ32</f>
        <v/>
      </c>
      <c r="AJ22" s="215">
        <f>-Financement!AK32</f>
        <v/>
      </c>
      <c r="AK22" s="215">
        <f>-Financement!AL32</f>
        <v/>
      </c>
    </row>
    <row r="23" ht="15" customHeight="1" s="143">
      <c r="A23" s="72" t="inlineStr">
        <is>
          <t>RÉSULTAT AVANT IMPÔT</t>
        </is>
      </c>
      <c r="B23" s="214">
        <f>B21+B22</f>
        <v/>
      </c>
      <c r="C23" s="214">
        <f>C21+C22</f>
        <v/>
      </c>
      <c r="D23" s="214">
        <f>D21+D22</f>
        <v/>
      </c>
      <c r="E23" s="214">
        <f>E21+E22</f>
        <v/>
      </c>
      <c r="F23" s="214">
        <f>F21+F22</f>
        <v/>
      </c>
      <c r="G23" s="214">
        <f>G21+G22</f>
        <v/>
      </c>
      <c r="H23" s="214">
        <f>H21+H22</f>
        <v/>
      </c>
      <c r="I23" s="214">
        <f>I21+I22</f>
        <v/>
      </c>
      <c r="J23" s="214">
        <f>J21+J22</f>
        <v/>
      </c>
      <c r="K23" s="214">
        <f>K21+K22</f>
        <v/>
      </c>
      <c r="L23" s="214">
        <f>L21+L22</f>
        <v/>
      </c>
      <c r="M23" s="214">
        <f>M21+M22</f>
        <v/>
      </c>
      <c r="N23" s="214">
        <f>N21+N22</f>
        <v/>
      </c>
      <c r="O23" s="214">
        <f>O21+O22</f>
        <v/>
      </c>
      <c r="P23" s="214">
        <f>P21+P22</f>
        <v/>
      </c>
      <c r="Q23" s="214">
        <f>Q21+Q22</f>
        <v/>
      </c>
      <c r="R23" s="214">
        <f>R21+R22</f>
        <v/>
      </c>
      <c r="S23" s="214">
        <f>S21+S22</f>
        <v/>
      </c>
      <c r="T23" s="214">
        <f>T21+T22</f>
        <v/>
      </c>
      <c r="U23" s="214">
        <f>U21+U22</f>
        <v/>
      </c>
      <c r="V23" s="214">
        <f>V21+V22</f>
        <v/>
      </c>
      <c r="W23" s="214">
        <f>W21+W22</f>
        <v/>
      </c>
      <c r="X23" s="214">
        <f>X21+X22</f>
        <v/>
      </c>
      <c r="Y23" s="214">
        <f>Y21+Y22</f>
        <v/>
      </c>
      <c r="Z23" s="214">
        <f>Z21+Z22</f>
        <v/>
      </c>
      <c r="AA23" s="214">
        <f>AA21+AA22</f>
        <v/>
      </c>
      <c r="AB23" s="214">
        <f>AB21+AB22</f>
        <v/>
      </c>
      <c r="AC23" s="214">
        <f>AC21+AC22</f>
        <v/>
      </c>
      <c r="AD23" s="214">
        <f>AD21+AD22</f>
        <v/>
      </c>
      <c r="AE23" s="214">
        <f>AE21+AE22</f>
        <v/>
      </c>
      <c r="AF23" s="214">
        <f>AF21+AF22</f>
        <v/>
      </c>
      <c r="AG23" s="214">
        <f>AG21+AG22</f>
        <v/>
      </c>
      <c r="AH23" s="214">
        <f>AH21+AH22</f>
        <v/>
      </c>
      <c r="AI23" s="214">
        <f>AI21+AI22</f>
        <v/>
      </c>
      <c r="AJ23" s="214">
        <f>AJ21+AJ22</f>
        <v/>
      </c>
      <c r="AK23" s="214">
        <f>AK21+AK22</f>
        <v/>
      </c>
    </row>
    <row r="24" ht="15" customHeight="1" s="143">
      <c r="A24" s="11" t="inlineStr">
        <is>
          <t>Impôt (IS synthétique 5 % du CA ou IR 20 %) — comptabilisé au mois 12 de chaque exercice</t>
        </is>
      </c>
      <c r="B24" s="216">
        <f>0</f>
        <v/>
      </c>
      <c r="C24" s="216">
        <f>0</f>
        <v/>
      </c>
      <c r="D24" s="216">
        <f>0</f>
        <v/>
      </c>
      <c r="E24" s="216">
        <f>0</f>
        <v/>
      </c>
      <c r="F24" s="216">
        <f>0</f>
        <v/>
      </c>
      <c r="G24" s="216">
        <f>0</f>
        <v/>
      </c>
      <c r="H24" s="216">
        <f>0</f>
        <v/>
      </c>
      <c r="I24" s="216">
        <f>0</f>
        <v/>
      </c>
      <c r="J24" s="216">
        <f>0</f>
        <v/>
      </c>
      <c r="K24" s="216">
        <f>0</f>
        <v/>
      </c>
      <c r="L24" s="216">
        <f>0</f>
        <v/>
      </c>
      <c r="M24" s="216">
        <f>-$B$34</f>
        <v/>
      </c>
      <c r="N24" s="216">
        <f>0</f>
        <v/>
      </c>
      <c r="O24" s="216">
        <f>0</f>
        <v/>
      </c>
      <c r="P24" s="216">
        <f>0</f>
        <v/>
      </c>
      <c r="Q24" s="216">
        <f>0</f>
        <v/>
      </c>
      <c r="R24" s="216">
        <f>0</f>
        <v/>
      </c>
      <c r="S24" s="216">
        <f>0</f>
        <v/>
      </c>
      <c r="T24" s="216">
        <f>0</f>
        <v/>
      </c>
      <c r="U24" s="216">
        <f>0</f>
        <v/>
      </c>
      <c r="V24" s="216">
        <f>0</f>
        <v/>
      </c>
      <c r="W24" s="216">
        <f>0</f>
        <v/>
      </c>
      <c r="X24" s="216">
        <f>0</f>
        <v/>
      </c>
      <c r="Y24" s="216">
        <f>-$C$34</f>
        <v/>
      </c>
      <c r="Z24" s="216">
        <f>0</f>
        <v/>
      </c>
      <c r="AA24" s="216">
        <f>0</f>
        <v/>
      </c>
      <c r="AB24" s="216">
        <f>0</f>
        <v/>
      </c>
      <c r="AC24" s="216">
        <f>0</f>
        <v/>
      </c>
      <c r="AD24" s="216">
        <f>0</f>
        <v/>
      </c>
      <c r="AE24" s="216">
        <f>0</f>
        <v/>
      </c>
      <c r="AF24" s="216">
        <f>0</f>
        <v/>
      </c>
      <c r="AG24" s="216">
        <f>0</f>
        <v/>
      </c>
      <c r="AH24" s="216">
        <f>0</f>
        <v/>
      </c>
      <c r="AI24" s="216">
        <f>0</f>
        <v/>
      </c>
      <c r="AJ24" s="216">
        <f>0</f>
        <v/>
      </c>
      <c r="AK24" s="216">
        <f>-$D$34</f>
        <v/>
      </c>
    </row>
    <row r="25" ht="15" customHeight="1" s="143">
      <c r="A25" s="72" t="inlineStr">
        <is>
          <t>RÉSULTAT NET</t>
        </is>
      </c>
      <c r="B25" s="214">
        <f>B23+B24</f>
        <v/>
      </c>
      <c r="C25" s="214">
        <f>C23+C24</f>
        <v/>
      </c>
      <c r="D25" s="214">
        <f>D23+D24</f>
        <v/>
      </c>
      <c r="E25" s="214">
        <f>E23+E24</f>
        <v/>
      </c>
      <c r="F25" s="214">
        <f>F23+F24</f>
        <v/>
      </c>
      <c r="G25" s="214">
        <f>G23+G24</f>
        <v/>
      </c>
      <c r="H25" s="214">
        <f>H23+H24</f>
        <v/>
      </c>
      <c r="I25" s="214">
        <f>I23+I24</f>
        <v/>
      </c>
      <c r="J25" s="214">
        <f>J23+J24</f>
        <v/>
      </c>
      <c r="K25" s="214">
        <f>K23+K24</f>
        <v/>
      </c>
      <c r="L25" s="214">
        <f>L23+L24</f>
        <v/>
      </c>
      <c r="M25" s="214">
        <f>M23+M24</f>
        <v/>
      </c>
      <c r="N25" s="214">
        <f>N23+N24</f>
        <v/>
      </c>
      <c r="O25" s="214">
        <f>O23+O24</f>
        <v/>
      </c>
      <c r="P25" s="214">
        <f>P23+P24</f>
        <v/>
      </c>
      <c r="Q25" s="214">
        <f>Q23+Q24</f>
        <v/>
      </c>
      <c r="R25" s="214">
        <f>R23+R24</f>
        <v/>
      </c>
      <c r="S25" s="214">
        <f>S23+S24</f>
        <v/>
      </c>
      <c r="T25" s="214">
        <f>T23+T24</f>
        <v/>
      </c>
      <c r="U25" s="214">
        <f>U23+U24</f>
        <v/>
      </c>
      <c r="V25" s="214">
        <f>V23+V24</f>
        <v/>
      </c>
      <c r="W25" s="214">
        <f>W23+W24</f>
        <v/>
      </c>
      <c r="X25" s="214">
        <f>X23+X24</f>
        <v/>
      </c>
      <c r="Y25" s="214">
        <f>Y23+Y24</f>
        <v/>
      </c>
      <c r="Z25" s="214">
        <f>Z23+Z24</f>
        <v/>
      </c>
      <c r="AA25" s="214">
        <f>AA23+AA24</f>
        <v/>
      </c>
      <c r="AB25" s="214">
        <f>AB23+AB24</f>
        <v/>
      </c>
      <c r="AC25" s="214">
        <f>AC23+AC24</f>
        <v/>
      </c>
      <c r="AD25" s="214">
        <f>AD23+AD24</f>
        <v/>
      </c>
      <c r="AE25" s="214">
        <f>AE23+AE24</f>
        <v/>
      </c>
      <c r="AF25" s="214">
        <f>AF23+AF24</f>
        <v/>
      </c>
      <c r="AG25" s="214">
        <f>AG23+AG24</f>
        <v/>
      </c>
      <c r="AH25" s="214">
        <f>AH23+AH24</f>
        <v/>
      </c>
      <c r="AI25" s="214">
        <f>AI23+AI24</f>
        <v/>
      </c>
      <c r="AJ25" s="214">
        <f>AJ23+AJ24</f>
        <v/>
      </c>
      <c r="AK25" s="214">
        <f>AK23+AK24</f>
        <v/>
      </c>
    </row>
    <row r="26" ht="15" customHeight="1" s="143">
      <c r="A26" s="11" t="inlineStr">
        <is>
          <t>% marge nette</t>
        </is>
      </c>
      <c r="B26" s="83">
        <f>IF(B5=0,0,B25/B5)</f>
        <v/>
      </c>
      <c r="C26" s="83">
        <f>IF(C5=0,0,C25/C5)</f>
        <v/>
      </c>
      <c r="D26" s="83">
        <f>IF(D5=0,0,D25/D5)</f>
        <v/>
      </c>
      <c r="E26" s="83">
        <f>IF(E5=0,0,E25/E5)</f>
        <v/>
      </c>
      <c r="F26" s="83">
        <f>IF(F5=0,0,F25/F5)</f>
        <v/>
      </c>
      <c r="G26" s="83">
        <f>IF(G5=0,0,G25/G5)</f>
        <v/>
      </c>
      <c r="H26" s="83">
        <f>IF(H5=0,0,H25/H5)</f>
        <v/>
      </c>
      <c r="I26" s="83">
        <f>IF(I5=0,0,I25/I5)</f>
        <v/>
      </c>
      <c r="J26" s="83">
        <f>IF(J5=0,0,J25/J5)</f>
        <v/>
      </c>
      <c r="K26" s="83">
        <f>IF(K5=0,0,K25/K5)</f>
        <v/>
      </c>
      <c r="L26" s="83">
        <f>IF(L5=0,0,L25/L5)</f>
        <v/>
      </c>
      <c r="M26" s="83">
        <f>IF(M5=0,0,M25/M5)</f>
        <v/>
      </c>
      <c r="N26" s="83">
        <f>IF(N5=0,0,N25/N5)</f>
        <v/>
      </c>
      <c r="O26" s="83">
        <f>IF(O5=0,0,O25/O5)</f>
        <v/>
      </c>
      <c r="P26" s="83">
        <f>IF(P5=0,0,P25/P5)</f>
        <v/>
      </c>
      <c r="Q26" s="83">
        <f>IF(Q5=0,0,Q25/Q5)</f>
        <v/>
      </c>
      <c r="R26" s="83">
        <f>IF(R5=0,0,R25/R5)</f>
        <v/>
      </c>
      <c r="S26" s="83">
        <f>IF(S5=0,0,S25/S5)</f>
        <v/>
      </c>
      <c r="T26" s="83">
        <f>IF(T5=0,0,T25/T5)</f>
        <v/>
      </c>
      <c r="U26" s="83">
        <f>IF(U5=0,0,U25/U5)</f>
        <v/>
      </c>
      <c r="V26" s="83">
        <f>IF(V5=0,0,V25/V5)</f>
        <v/>
      </c>
      <c r="W26" s="83">
        <f>IF(W5=0,0,W25/W5)</f>
        <v/>
      </c>
      <c r="X26" s="83">
        <f>IF(X5=0,0,X25/X5)</f>
        <v/>
      </c>
      <c r="Y26" s="83">
        <f>IF(Y5=0,0,Y25/Y5)</f>
        <v/>
      </c>
      <c r="Z26" s="83">
        <f>IF(Z5=0,0,Z25/Z5)</f>
        <v/>
      </c>
      <c r="AA26" s="83">
        <f>IF(AA5=0,0,AA25/AA5)</f>
        <v/>
      </c>
      <c r="AB26" s="83">
        <f>IF(AB5=0,0,AB25/AB5)</f>
        <v/>
      </c>
      <c r="AC26" s="83">
        <f>IF(AC5=0,0,AC25/AC5)</f>
        <v/>
      </c>
      <c r="AD26" s="83">
        <f>IF(AD5=0,0,AD25/AD5)</f>
        <v/>
      </c>
      <c r="AE26" s="83">
        <f>IF(AE5=0,0,AE25/AE5)</f>
        <v/>
      </c>
      <c r="AF26" s="83">
        <f>IF(AF5=0,0,AF25/AF5)</f>
        <v/>
      </c>
      <c r="AG26" s="83">
        <f>IF(AG5=0,0,AG25/AG5)</f>
        <v/>
      </c>
      <c r="AH26" s="83">
        <f>IF(AH5=0,0,AH25/AH5)</f>
        <v/>
      </c>
      <c r="AI26" s="83">
        <f>IF(AI5=0,0,AI25/AI5)</f>
        <v/>
      </c>
      <c r="AJ26" s="83">
        <f>IF(AJ5=0,0,AJ25/AJ5)</f>
        <v/>
      </c>
      <c r="AK26" s="83">
        <f>IF(AK5=0,0,AK25/AK5)</f>
        <v/>
      </c>
    </row>
    <row r="28" ht="15" customHeight="1" s="143">
      <c r="A28" s="72" t="inlineStr">
        <is>
          <t>RÉCAPITULATIF ANNUEL ET CALCUL DE L'IMPÔT (Madagascar, LF 2026)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</row>
    <row r="29" ht="15" customHeight="1" s="143">
      <c r="A29" s="2" t="n"/>
      <c r="B29" s="90" t="inlineStr">
        <is>
          <t>Année 1</t>
        </is>
      </c>
      <c r="C29" s="90" t="inlineStr">
        <is>
          <t>Année 2</t>
        </is>
      </c>
      <c r="D29" s="90" t="inlineStr">
        <is>
          <t>Année 3</t>
        </is>
      </c>
    </row>
    <row r="30" ht="15" customHeight="1" s="143">
      <c r="A30" s="11" t="inlineStr">
        <is>
          <t>Chiffre d'affaires annuel</t>
        </is>
      </c>
      <c r="B30" s="216">
        <f>SUMIF($B$2:$AK$2,1,$B$5:$AK$5)</f>
        <v/>
      </c>
      <c r="C30" s="216">
        <f>SUMIF($B$2:$AK$2,2,$B$5:$AK$5)</f>
        <v/>
      </c>
      <c r="D30" s="216">
        <f>SUMIF($B$2:$AK$2,3,$B$5:$AK$5)</f>
        <v/>
      </c>
    </row>
    <row r="31" ht="15" customHeight="1" s="143">
      <c r="A31" s="11" t="inlineStr">
        <is>
          <t>EBITDA annuel</t>
        </is>
      </c>
      <c r="B31" s="216">
        <f>SUMIF($B$2:$AK$2,1,$B$18:$AK$18)</f>
        <v/>
      </c>
      <c r="C31" s="216">
        <f>SUMIF($B$2:$AK$2,2,$B$18:$AK$18)</f>
        <v/>
      </c>
      <c r="D31" s="216">
        <f>SUMIF($B$2:$AK$2,3,$B$18:$AK$18)</f>
        <v/>
      </c>
    </row>
    <row r="32" ht="15" customHeight="1" s="143">
      <c r="A32" s="11" t="inlineStr">
        <is>
          <t>Résultat avant impôt annuel</t>
        </is>
      </c>
      <c r="B32" s="216">
        <f>SUMIF($B$2:$AK$2,1,$B$23:$AK$23)</f>
        <v/>
      </c>
      <c r="C32" s="216">
        <f>SUMIF($B$2:$AK$2,2,$B$23:$AK$23)</f>
        <v/>
      </c>
      <c r="D32" s="216">
        <f>SUMIF($B$2:$AK$2,3,$B$23:$AK$23)</f>
        <v/>
      </c>
    </row>
    <row r="33" ht="15" customHeight="1" s="143">
      <c r="A33" s="11" t="inlineStr">
        <is>
          <t>Déficits antérieurs reportables (régime réel)</t>
        </is>
      </c>
      <c r="B33" s="11" t="n">
        <v>0</v>
      </c>
      <c r="C33" s="11">
        <f>MIN(0,B32)</f>
        <v/>
      </c>
      <c r="D33" s="11">
        <f>MIN(0,B32+C32)</f>
        <v/>
      </c>
    </row>
    <row r="34" ht="15" customHeight="1" s="143">
      <c r="A34" s="72" t="inlineStr">
        <is>
          <t>Impôt dû (IS 5 % du CA si CA &lt; seuil, sinon IR 20 %)</t>
        </is>
      </c>
      <c r="B34" s="215">
        <f>IF(B30&lt;Parametres!$D$150,Parametres!$D$151*B30,MAX(Parametres!$D$152*MAX(0,B32+B33),Parametres!$D$153+Parametres!$D$154*B30))</f>
        <v/>
      </c>
      <c r="C34" s="215">
        <f>IF(C30&lt;Parametres!$D$150,Parametres!$D$151*C30,MAX(Parametres!$D$152*MAX(0,C32+C33),Parametres!$D$153+Parametres!$D$154*C30))</f>
        <v/>
      </c>
      <c r="D34" s="215">
        <f>IF(D30&lt;Parametres!$D$150,Parametres!$D$151*D30,MAX(Parametres!$D$152*MAX(0,D32+D33),Parametres!$D$153+Parametres!$D$154*D30))</f>
        <v/>
      </c>
    </row>
    <row r="35" ht="15" customHeight="1" s="143">
      <c r="A35" s="72" t="inlineStr">
        <is>
          <t>Résultat net annuel</t>
        </is>
      </c>
      <c r="B35" s="214">
        <f>B32-B34</f>
        <v/>
      </c>
      <c r="C35" s="214">
        <f>C32-C34</f>
        <v/>
      </c>
      <c r="D35" s="214">
        <f>D32-D34</f>
        <v/>
      </c>
    </row>
    <row r="37" ht="31.5" customHeight="1" s="143">
      <c r="A37" s="89" t="inlineStr">
        <is>
          <t>Simplifications documentées : impôt comptabilisé et payé au mois 12 de chaque exercice ; report des déficits appliqué uniquement au régime réel (IR).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/>
  </sheetPr>
  <dimension ref="A1:AM21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D26" sqref="D26"/>
    </sheetView>
  </sheetViews>
  <sheetFormatPr baseColWidth="10" defaultColWidth="8.83203125" defaultRowHeight="15"/>
  <cols>
    <col width="48" customWidth="1" style="143" min="1" max="1"/>
    <col width="12" customWidth="1" style="143" min="3" max="39"/>
  </cols>
  <sheetData>
    <row r="1" ht="22" customHeight="1" s="143">
      <c r="A1" s="142" t="inlineStr">
        <is>
          <t>BILAN SIMPLIFIÉ — actif = passif (MGA) — M0 setup + M1–M36</t>
        </is>
      </c>
    </row>
    <row r="2">
      <c r="A2" s="68" t="inlineStr">
        <is>
          <t>Année</t>
        </is>
      </c>
      <c r="B2" s="68" t="n"/>
      <c r="C2" s="68" t="n">
        <v>0</v>
      </c>
      <c r="D2" s="68">
        <f>INT((D3-1)/12)+1</f>
        <v/>
      </c>
      <c r="E2" s="68">
        <f>INT((E3-1)/12)+1</f>
        <v/>
      </c>
      <c r="F2" s="68">
        <f>INT((F3-1)/12)+1</f>
        <v/>
      </c>
      <c r="G2" s="68">
        <f>INT((G3-1)/12)+1</f>
        <v/>
      </c>
      <c r="H2" s="68">
        <f>INT((H3-1)/12)+1</f>
        <v/>
      </c>
      <c r="I2" s="68">
        <f>INT((I3-1)/12)+1</f>
        <v/>
      </c>
      <c r="J2" s="68">
        <f>INT((J3-1)/12)+1</f>
        <v/>
      </c>
      <c r="K2" s="68">
        <f>INT((K3-1)/12)+1</f>
        <v/>
      </c>
      <c r="L2" s="68">
        <f>INT((L3-1)/12)+1</f>
        <v/>
      </c>
      <c r="M2" s="68">
        <f>INT((M3-1)/12)+1</f>
        <v/>
      </c>
      <c r="N2" s="68">
        <f>INT((N3-1)/12)+1</f>
        <v/>
      </c>
      <c r="O2" s="68">
        <f>INT((O3-1)/12)+1</f>
        <v/>
      </c>
      <c r="P2" s="68">
        <f>INT((P3-1)/12)+1</f>
        <v/>
      </c>
      <c r="Q2" s="68">
        <f>INT((Q3-1)/12)+1</f>
        <v/>
      </c>
      <c r="R2" s="68">
        <f>INT((R3-1)/12)+1</f>
        <v/>
      </c>
      <c r="S2" s="68">
        <f>INT((S3-1)/12)+1</f>
        <v/>
      </c>
      <c r="T2" s="68">
        <f>INT((T3-1)/12)+1</f>
        <v/>
      </c>
      <c r="U2" s="68">
        <f>INT((U3-1)/12)+1</f>
        <v/>
      </c>
      <c r="V2" s="68">
        <f>INT((V3-1)/12)+1</f>
        <v/>
      </c>
      <c r="W2" s="68">
        <f>INT((W3-1)/12)+1</f>
        <v/>
      </c>
      <c r="X2" s="68">
        <f>INT((X3-1)/12)+1</f>
        <v/>
      </c>
      <c r="Y2" s="68">
        <f>INT((Y3-1)/12)+1</f>
        <v/>
      </c>
      <c r="Z2" s="68">
        <f>INT((Z3-1)/12)+1</f>
        <v/>
      </c>
      <c r="AA2" s="68">
        <f>INT((AA3-1)/12)+1</f>
        <v/>
      </c>
      <c r="AB2" s="68">
        <f>INT((AB3-1)/12)+1</f>
        <v/>
      </c>
      <c r="AC2" s="68">
        <f>INT((AC3-1)/12)+1</f>
        <v/>
      </c>
      <c r="AD2" s="68">
        <f>INT((AD3-1)/12)+1</f>
        <v/>
      </c>
      <c r="AE2" s="68">
        <f>INT((AE3-1)/12)+1</f>
        <v/>
      </c>
      <c r="AF2" s="68">
        <f>INT((AF3-1)/12)+1</f>
        <v/>
      </c>
      <c r="AG2" s="68">
        <f>INT((AG3-1)/12)+1</f>
        <v/>
      </c>
      <c r="AH2" s="68">
        <f>INT((AH3-1)/12)+1</f>
        <v/>
      </c>
      <c r="AI2" s="68">
        <f>INT((AI3-1)/12)+1</f>
        <v/>
      </c>
      <c r="AJ2" s="68">
        <f>INT((AJ3-1)/12)+1</f>
        <v/>
      </c>
      <c r="AK2" s="68">
        <f>INT((AK3-1)/12)+1</f>
        <v/>
      </c>
      <c r="AL2" s="68">
        <f>INT((AL3-1)/12)+1</f>
        <v/>
      </c>
      <c r="AM2" s="68">
        <f>INT((AM3-1)/12)+1</f>
        <v/>
      </c>
    </row>
    <row r="3">
      <c r="A3" s="68" t="inlineStr">
        <is>
          <t>Mois</t>
        </is>
      </c>
      <c r="B3" s="68" t="n"/>
      <c r="C3" s="68" t="n">
        <v>0</v>
      </c>
      <c r="D3" s="68" t="n">
        <v>1</v>
      </c>
      <c r="E3" s="68" t="n">
        <v>2</v>
      </c>
      <c r="F3" s="68" t="n">
        <v>3</v>
      </c>
      <c r="G3" s="68" t="n">
        <v>4</v>
      </c>
      <c r="H3" s="68" t="n">
        <v>5</v>
      </c>
      <c r="I3" s="68" t="n">
        <v>6</v>
      </c>
      <c r="J3" s="68" t="n">
        <v>7</v>
      </c>
      <c r="K3" s="68" t="n">
        <v>8</v>
      </c>
      <c r="L3" s="68" t="n">
        <v>9</v>
      </c>
      <c r="M3" s="68" t="n">
        <v>10</v>
      </c>
      <c r="N3" s="68" t="n">
        <v>11</v>
      </c>
      <c r="O3" s="68" t="n">
        <v>12</v>
      </c>
      <c r="P3" s="68" t="n">
        <v>13</v>
      </c>
      <c r="Q3" s="68" t="n">
        <v>14</v>
      </c>
      <c r="R3" s="68" t="n">
        <v>15</v>
      </c>
      <c r="S3" s="68" t="n">
        <v>16</v>
      </c>
      <c r="T3" s="68" t="n">
        <v>17</v>
      </c>
      <c r="U3" s="68" t="n">
        <v>18</v>
      </c>
      <c r="V3" s="68" t="n">
        <v>19</v>
      </c>
      <c r="W3" s="68" t="n">
        <v>20</v>
      </c>
      <c r="X3" s="68" t="n">
        <v>21</v>
      </c>
      <c r="Y3" s="68" t="n">
        <v>22</v>
      </c>
      <c r="Z3" s="68" t="n">
        <v>23</v>
      </c>
      <c r="AA3" s="68" t="n">
        <v>24</v>
      </c>
      <c r="AB3" s="68" t="n">
        <v>25</v>
      </c>
      <c r="AC3" s="68" t="n">
        <v>26</v>
      </c>
      <c r="AD3" s="68" t="n">
        <v>27</v>
      </c>
      <c r="AE3" s="68" t="n">
        <v>28</v>
      </c>
      <c r="AF3" s="68" t="n">
        <v>29</v>
      </c>
      <c r="AG3" s="68" t="n">
        <v>30</v>
      </c>
      <c r="AH3" s="68" t="n">
        <v>31</v>
      </c>
      <c r="AI3" s="68" t="n">
        <v>32</v>
      </c>
      <c r="AJ3" s="68" t="n">
        <v>33</v>
      </c>
      <c r="AK3" s="68" t="n">
        <v>34</v>
      </c>
      <c r="AL3" s="68" t="n">
        <v>35</v>
      </c>
      <c r="AM3" s="68" t="n">
        <v>36</v>
      </c>
    </row>
    <row r="5" ht="16" customHeight="1" s="143">
      <c r="A5" s="91" t="inlineStr">
        <is>
          <t>ACTIF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</row>
    <row r="6">
      <c r="A6" s="89" t="inlineStr">
        <is>
          <t>Immobilisations brutes (CAPEX)</t>
        </is>
      </c>
      <c r="C6" s="209">
        <f>Financement!B4</f>
        <v/>
      </c>
      <c r="D6" s="209">
        <f>Financement!$B$4</f>
        <v/>
      </c>
      <c r="E6" s="209">
        <f>Financement!$B$4</f>
        <v/>
      </c>
      <c r="F6" s="209">
        <f>Financement!$B$4</f>
        <v/>
      </c>
      <c r="G6" s="209">
        <f>Financement!$B$4</f>
        <v/>
      </c>
      <c r="H6" s="209">
        <f>Financement!$B$4</f>
        <v/>
      </c>
      <c r="I6" s="209">
        <f>Financement!$B$4</f>
        <v/>
      </c>
      <c r="J6" s="209">
        <f>Financement!$B$4</f>
        <v/>
      </c>
      <c r="K6" s="209">
        <f>Financement!$B$4</f>
        <v/>
      </c>
      <c r="L6" s="209">
        <f>Financement!$B$4</f>
        <v/>
      </c>
      <c r="M6" s="209">
        <f>Financement!$B$4</f>
        <v/>
      </c>
      <c r="N6" s="209">
        <f>Financement!$B$4</f>
        <v/>
      </c>
      <c r="O6" s="209">
        <f>Financement!$B$4</f>
        <v/>
      </c>
      <c r="P6" s="209">
        <f>Financement!$B$4</f>
        <v/>
      </c>
      <c r="Q6" s="209">
        <f>Financement!$B$4</f>
        <v/>
      </c>
      <c r="R6" s="209">
        <f>Financement!$B$4</f>
        <v/>
      </c>
      <c r="S6" s="209">
        <f>Financement!$B$4</f>
        <v/>
      </c>
      <c r="T6" s="209">
        <f>Financement!$B$4</f>
        <v/>
      </c>
      <c r="U6" s="209">
        <f>Financement!$B$4</f>
        <v/>
      </c>
      <c r="V6" s="209">
        <f>Financement!$B$4</f>
        <v/>
      </c>
      <c r="W6" s="209">
        <f>Financement!$B$4</f>
        <v/>
      </c>
      <c r="X6" s="209">
        <f>Financement!$B$4</f>
        <v/>
      </c>
      <c r="Y6" s="209">
        <f>Financement!$B$4</f>
        <v/>
      </c>
      <c r="Z6" s="209">
        <f>Financement!$B$4</f>
        <v/>
      </c>
      <c r="AA6" s="209">
        <f>Financement!$B$4</f>
        <v/>
      </c>
      <c r="AB6" s="209">
        <f>Financement!$B$4</f>
        <v/>
      </c>
      <c r="AC6" s="209">
        <f>Financement!$B$4</f>
        <v/>
      </c>
      <c r="AD6" s="209">
        <f>Financement!$B$4</f>
        <v/>
      </c>
      <c r="AE6" s="209">
        <f>Financement!$B$4</f>
        <v/>
      </c>
      <c r="AF6" s="209">
        <f>Financement!$B$4</f>
        <v/>
      </c>
      <c r="AG6" s="209">
        <f>Financement!$B$4</f>
        <v/>
      </c>
      <c r="AH6" s="209">
        <f>Financement!$B$4</f>
        <v/>
      </c>
      <c r="AI6" s="209">
        <f>Financement!$B$4</f>
        <v/>
      </c>
      <c r="AJ6" s="209">
        <f>Financement!$B$4</f>
        <v/>
      </c>
      <c r="AK6" s="209">
        <f>Financement!$B$4</f>
        <v/>
      </c>
      <c r="AL6" s="209">
        <f>Financement!$B$4</f>
        <v/>
      </c>
      <c r="AM6" s="209">
        <f>Financement!$B$4</f>
        <v/>
      </c>
    </row>
    <row r="7">
      <c r="A7" s="89" t="inlineStr">
        <is>
          <t>Amortissements cumulés</t>
        </is>
      </c>
      <c r="C7" s="211" t="n">
        <v>0</v>
      </c>
      <c r="D7" s="209">
        <f>-Amortissements!$H$6*D$3</f>
        <v/>
      </c>
      <c r="E7" s="209">
        <f>-Amortissements!$H$6*E$3</f>
        <v/>
      </c>
      <c r="F7" s="209">
        <f>-Amortissements!$H$6*F$3</f>
        <v/>
      </c>
      <c r="G7" s="209">
        <f>-Amortissements!$H$6*G$3</f>
        <v/>
      </c>
      <c r="H7" s="209">
        <f>-Amortissements!$H$6*H$3</f>
        <v/>
      </c>
      <c r="I7" s="209">
        <f>-Amortissements!$H$6*I$3</f>
        <v/>
      </c>
      <c r="J7" s="209">
        <f>-Amortissements!$H$6*J$3</f>
        <v/>
      </c>
      <c r="K7" s="209">
        <f>-Amortissements!$H$6*K$3</f>
        <v/>
      </c>
      <c r="L7" s="209">
        <f>-Amortissements!$H$6*L$3</f>
        <v/>
      </c>
      <c r="M7" s="209">
        <f>-Amortissements!$H$6*M$3</f>
        <v/>
      </c>
      <c r="N7" s="209">
        <f>-Amortissements!$H$6*N$3</f>
        <v/>
      </c>
      <c r="O7" s="209">
        <f>-Amortissements!$H$6*O$3</f>
        <v/>
      </c>
      <c r="P7" s="209">
        <f>-Amortissements!$H$6*P$3</f>
        <v/>
      </c>
      <c r="Q7" s="209">
        <f>-Amortissements!$H$6*Q$3</f>
        <v/>
      </c>
      <c r="R7" s="209">
        <f>-Amortissements!$H$6*R$3</f>
        <v/>
      </c>
      <c r="S7" s="209">
        <f>-Amortissements!$H$6*S$3</f>
        <v/>
      </c>
      <c r="T7" s="209">
        <f>-Amortissements!$H$6*T$3</f>
        <v/>
      </c>
      <c r="U7" s="209">
        <f>-Amortissements!$H$6*U$3</f>
        <v/>
      </c>
      <c r="V7" s="209">
        <f>-Amortissements!$H$6*V$3</f>
        <v/>
      </c>
      <c r="W7" s="209">
        <f>-Amortissements!$H$6*W$3</f>
        <v/>
      </c>
      <c r="X7" s="209">
        <f>-Amortissements!$H$6*X$3</f>
        <v/>
      </c>
      <c r="Y7" s="209">
        <f>-Amortissements!$H$6*Y$3</f>
        <v/>
      </c>
      <c r="Z7" s="209">
        <f>-Amortissements!$H$6*Z$3</f>
        <v/>
      </c>
      <c r="AA7" s="209">
        <f>-Amortissements!$H$6*AA$3</f>
        <v/>
      </c>
      <c r="AB7" s="209">
        <f>-Amortissements!$H$6*AB$3</f>
        <v/>
      </c>
      <c r="AC7" s="209">
        <f>-Amortissements!$H$6*AC$3</f>
        <v/>
      </c>
      <c r="AD7" s="209">
        <f>-Amortissements!$H$6*AD$3</f>
        <v/>
      </c>
      <c r="AE7" s="209">
        <f>-Amortissements!$H$6*AE$3</f>
        <v/>
      </c>
      <c r="AF7" s="209">
        <f>-Amortissements!$H$6*AF$3</f>
        <v/>
      </c>
      <c r="AG7" s="209">
        <f>-Amortissements!$H$6*AG$3</f>
        <v/>
      </c>
      <c r="AH7" s="209">
        <f>-Amortissements!$H$6*AH$3</f>
        <v/>
      </c>
      <c r="AI7" s="209">
        <f>-Amortissements!$H$6*AI$3</f>
        <v/>
      </c>
      <c r="AJ7" s="209">
        <f>-Amortissements!$H$6*AJ$3</f>
        <v/>
      </c>
      <c r="AK7" s="209">
        <f>-Amortissements!$H$6*AK$3</f>
        <v/>
      </c>
      <c r="AL7" s="209">
        <f>-Amortissements!$H$6*AL$3</f>
        <v/>
      </c>
      <c r="AM7" s="209">
        <f>-Amortissements!$H$6*AM$3</f>
        <v/>
      </c>
    </row>
    <row r="8">
      <c r="A8" s="89" t="inlineStr">
        <is>
          <t>Immobilisations nettes (VNC)</t>
        </is>
      </c>
      <c r="C8" s="211">
        <f>C6+C7</f>
        <v/>
      </c>
      <c r="D8" s="211">
        <f>D6+D7</f>
        <v/>
      </c>
      <c r="E8" s="211">
        <f>E6+E7</f>
        <v/>
      </c>
      <c r="F8" s="211">
        <f>F6+F7</f>
        <v/>
      </c>
      <c r="G8" s="211">
        <f>G6+G7</f>
        <v/>
      </c>
      <c r="H8" s="211">
        <f>H6+H7</f>
        <v/>
      </c>
      <c r="I8" s="211">
        <f>I6+I7</f>
        <v/>
      </c>
      <c r="J8" s="211">
        <f>J6+J7</f>
        <v/>
      </c>
      <c r="K8" s="211">
        <f>K6+K7</f>
        <v/>
      </c>
      <c r="L8" s="211">
        <f>L6+L7</f>
        <v/>
      </c>
      <c r="M8" s="211">
        <f>M6+M7</f>
        <v/>
      </c>
      <c r="N8" s="211">
        <f>N6+N7</f>
        <v/>
      </c>
      <c r="O8" s="211">
        <f>O6+O7</f>
        <v/>
      </c>
      <c r="P8" s="211">
        <f>P6+P7</f>
        <v/>
      </c>
      <c r="Q8" s="211">
        <f>Q6+Q7</f>
        <v/>
      </c>
      <c r="R8" s="211">
        <f>R6+R7</f>
        <v/>
      </c>
      <c r="S8" s="211">
        <f>S6+S7</f>
        <v/>
      </c>
      <c r="T8" s="211">
        <f>T6+T7</f>
        <v/>
      </c>
      <c r="U8" s="211">
        <f>U6+U7</f>
        <v/>
      </c>
      <c r="V8" s="211">
        <f>V6+V7</f>
        <v/>
      </c>
      <c r="W8" s="211">
        <f>W6+W7</f>
        <v/>
      </c>
      <c r="X8" s="211">
        <f>X6+X7</f>
        <v/>
      </c>
      <c r="Y8" s="211">
        <f>Y6+Y7</f>
        <v/>
      </c>
      <c r="Z8" s="211">
        <f>Z6+Z7</f>
        <v/>
      </c>
      <c r="AA8" s="211">
        <f>AA6+AA7</f>
        <v/>
      </c>
      <c r="AB8" s="211">
        <f>AB6+AB7</f>
        <v/>
      </c>
      <c r="AC8" s="211">
        <f>AC6+AC7</f>
        <v/>
      </c>
      <c r="AD8" s="211">
        <f>AD6+AD7</f>
        <v/>
      </c>
      <c r="AE8" s="211">
        <f>AE6+AE7</f>
        <v/>
      </c>
      <c r="AF8" s="211">
        <f>AF6+AF7</f>
        <v/>
      </c>
      <c r="AG8" s="211">
        <f>AG6+AG7</f>
        <v/>
      </c>
      <c r="AH8" s="211">
        <f>AH6+AH7</f>
        <v/>
      </c>
      <c r="AI8" s="211">
        <f>AI6+AI7</f>
        <v/>
      </c>
      <c r="AJ8" s="211">
        <f>AJ6+AJ7</f>
        <v/>
      </c>
      <c r="AK8" s="211">
        <f>AK6+AK7</f>
        <v/>
      </c>
      <c r="AL8" s="211">
        <f>AL6+AL7</f>
        <v/>
      </c>
      <c r="AM8" s="211">
        <f>AM6+AM7</f>
        <v/>
      </c>
    </row>
    <row r="9">
      <c r="A9" s="89" t="inlineStr">
        <is>
          <t>Trésorerie</t>
        </is>
      </c>
      <c r="C9" s="209">
        <f>Tresorerie!C25</f>
        <v/>
      </c>
      <c r="D9" s="209">
        <f>Tresorerie!D25</f>
        <v/>
      </c>
      <c r="E9" s="209">
        <f>Tresorerie!E25</f>
        <v/>
      </c>
      <c r="F9" s="209">
        <f>Tresorerie!F25</f>
        <v/>
      </c>
      <c r="G9" s="209">
        <f>Tresorerie!G25</f>
        <v/>
      </c>
      <c r="H9" s="209">
        <f>Tresorerie!H25</f>
        <v/>
      </c>
      <c r="I9" s="209">
        <f>Tresorerie!I25</f>
        <v/>
      </c>
      <c r="J9" s="209">
        <f>Tresorerie!J25</f>
        <v/>
      </c>
      <c r="K9" s="209">
        <f>Tresorerie!K25</f>
        <v/>
      </c>
      <c r="L9" s="209">
        <f>Tresorerie!L25</f>
        <v/>
      </c>
      <c r="M9" s="209">
        <f>Tresorerie!M25</f>
        <v/>
      </c>
      <c r="N9" s="209">
        <f>Tresorerie!N25</f>
        <v/>
      </c>
      <c r="O9" s="209">
        <f>Tresorerie!O25</f>
        <v/>
      </c>
      <c r="P9" s="209">
        <f>Tresorerie!P25</f>
        <v/>
      </c>
      <c r="Q9" s="209">
        <f>Tresorerie!Q25</f>
        <v/>
      </c>
      <c r="R9" s="209">
        <f>Tresorerie!R25</f>
        <v/>
      </c>
      <c r="S9" s="209">
        <f>Tresorerie!S25</f>
        <v/>
      </c>
      <c r="T9" s="209">
        <f>Tresorerie!T25</f>
        <v/>
      </c>
      <c r="U9" s="209">
        <f>Tresorerie!U25</f>
        <v/>
      </c>
      <c r="V9" s="209">
        <f>Tresorerie!V25</f>
        <v/>
      </c>
      <c r="W9" s="209">
        <f>Tresorerie!W25</f>
        <v/>
      </c>
      <c r="X9" s="209">
        <f>Tresorerie!X25</f>
        <v/>
      </c>
      <c r="Y9" s="209">
        <f>Tresorerie!Y25</f>
        <v/>
      </c>
      <c r="Z9" s="209">
        <f>Tresorerie!Z25</f>
        <v/>
      </c>
      <c r="AA9" s="209">
        <f>Tresorerie!AA25</f>
        <v/>
      </c>
      <c r="AB9" s="209">
        <f>Tresorerie!AB25</f>
        <v/>
      </c>
      <c r="AC9" s="209">
        <f>Tresorerie!AC25</f>
        <v/>
      </c>
      <c r="AD9" s="209">
        <f>Tresorerie!AD25</f>
        <v/>
      </c>
      <c r="AE9" s="209">
        <f>Tresorerie!AE25</f>
        <v/>
      </c>
      <c r="AF9" s="209">
        <f>Tresorerie!AF25</f>
        <v/>
      </c>
      <c r="AG9" s="209">
        <f>Tresorerie!AG25</f>
        <v/>
      </c>
      <c r="AH9" s="209">
        <f>Tresorerie!AH25</f>
        <v/>
      </c>
      <c r="AI9" s="209">
        <f>Tresorerie!AI25</f>
        <v/>
      </c>
      <c r="AJ9" s="209">
        <f>Tresorerie!AJ25</f>
        <v/>
      </c>
      <c r="AK9" s="209">
        <f>Tresorerie!AK25</f>
        <v/>
      </c>
      <c r="AL9" s="209">
        <f>Tresorerie!AL25</f>
        <v/>
      </c>
      <c r="AM9" s="209">
        <f>Tresorerie!AM25</f>
        <v/>
      </c>
    </row>
    <row r="10" ht="16" customHeight="1" s="143">
      <c r="A10" s="92" t="inlineStr">
        <is>
          <t>TOTAL ACTIF</t>
        </is>
      </c>
      <c r="C10" s="211">
        <f>C8+C9</f>
        <v/>
      </c>
      <c r="D10" s="211">
        <f>D8+D9</f>
        <v/>
      </c>
      <c r="E10" s="211">
        <f>E8+E9</f>
        <v/>
      </c>
      <c r="F10" s="211">
        <f>F8+F9</f>
        <v/>
      </c>
      <c r="G10" s="211">
        <f>G8+G9</f>
        <v/>
      </c>
      <c r="H10" s="211">
        <f>H8+H9</f>
        <v/>
      </c>
      <c r="I10" s="211">
        <f>I8+I9</f>
        <v/>
      </c>
      <c r="J10" s="211">
        <f>J8+J9</f>
        <v/>
      </c>
      <c r="K10" s="211">
        <f>K8+K9</f>
        <v/>
      </c>
      <c r="L10" s="211">
        <f>L8+L9</f>
        <v/>
      </c>
      <c r="M10" s="211">
        <f>M8+M9</f>
        <v/>
      </c>
      <c r="N10" s="211">
        <f>N8+N9</f>
        <v/>
      </c>
      <c r="O10" s="211">
        <f>O8+O9</f>
        <v/>
      </c>
      <c r="P10" s="211">
        <f>P8+P9</f>
        <v/>
      </c>
      <c r="Q10" s="211">
        <f>Q8+Q9</f>
        <v/>
      </c>
      <c r="R10" s="211">
        <f>R8+R9</f>
        <v/>
      </c>
      <c r="S10" s="211">
        <f>S8+S9</f>
        <v/>
      </c>
      <c r="T10" s="211">
        <f>T8+T9</f>
        <v/>
      </c>
      <c r="U10" s="211">
        <f>U8+U9</f>
        <v/>
      </c>
      <c r="V10" s="211">
        <f>V8+V9</f>
        <v/>
      </c>
      <c r="W10" s="211">
        <f>W8+W9</f>
        <v/>
      </c>
      <c r="X10" s="211">
        <f>X8+X9</f>
        <v/>
      </c>
      <c r="Y10" s="211">
        <f>Y8+Y9</f>
        <v/>
      </c>
      <c r="Z10" s="211">
        <f>Z8+Z9</f>
        <v/>
      </c>
      <c r="AA10" s="211">
        <f>AA8+AA9</f>
        <v/>
      </c>
      <c r="AB10" s="211">
        <f>AB8+AB9</f>
        <v/>
      </c>
      <c r="AC10" s="211">
        <f>AC8+AC9</f>
        <v/>
      </c>
      <c r="AD10" s="211">
        <f>AD8+AD9</f>
        <v/>
      </c>
      <c r="AE10" s="211">
        <f>AE8+AE9</f>
        <v/>
      </c>
      <c r="AF10" s="211">
        <f>AF8+AF9</f>
        <v/>
      </c>
      <c r="AG10" s="211">
        <f>AG8+AG9</f>
        <v/>
      </c>
      <c r="AH10" s="211">
        <f>AH8+AH9</f>
        <v/>
      </c>
      <c r="AI10" s="211">
        <f>AI8+AI9</f>
        <v/>
      </c>
      <c r="AJ10" s="211">
        <f>AJ8+AJ9</f>
        <v/>
      </c>
      <c r="AK10" s="211">
        <f>AK8+AK9</f>
        <v/>
      </c>
      <c r="AL10" s="211">
        <f>AL8+AL9</f>
        <v/>
      </c>
      <c r="AM10" s="211">
        <f>AM8+AM9</f>
        <v/>
      </c>
    </row>
    <row r="12" ht="16" customHeight="1" s="143">
      <c r="A12" s="91" t="inlineStr">
        <is>
          <t>PASSIF ET CAPITAUX PROPRES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</row>
    <row r="13">
      <c r="A13" s="89" t="inlineStr">
        <is>
          <t>Emprunt restant dû</t>
        </is>
      </c>
      <c r="C13" s="209">
        <f>Financement!B23</f>
        <v/>
      </c>
      <c r="D13" s="209">
        <f>IF(D$3&gt;Financement!$B$25,0,Financement!C34)</f>
        <v/>
      </c>
      <c r="E13" s="209">
        <f>IF(E$3&gt;Financement!$B$25,0,Financement!D34)</f>
        <v/>
      </c>
      <c r="F13" s="209">
        <f>IF(F$3&gt;Financement!$B$25,0,Financement!E34)</f>
        <v/>
      </c>
      <c r="G13" s="209">
        <f>IF(G$3&gt;Financement!$B$25,0,Financement!F34)</f>
        <v/>
      </c>
      <c r="H13" s="209">
        <f>IF(H$3&gt;Financement!$B$25,0,Financement!G34)</f>
        <v/>
      </c>
      <c r="I13" s="209">
        <f>IF(I$3&gt;Financement!$B$25,0,Financement!H34)</f>
        <v/>
      </c>
      <c r="J13" s="209">
        <f>IF(J$3&gt;Financement!$B$25,0,Financement!I34)</f>
        <v/>
      </c>
      <c r="K13" s="209">
        <f>IF(K$3&gt;Financement!$B$25,0,Financement!J34)</f>
        <v/>
      </c>
      <c r="L13" s="209">
        <f>IF(L$3&gt;Financement!$B$25,0,Financement!K34)</f>
        <v/>
      </c>
      <c r="M13" s="209">
        <f>IF(M$3&gt;Financement!$B$25,0,Financement!L34)</f>
        <v/>
      </c>
      <c r="N13" s="209">
        <f>IF(N$3&gt;Financement!$B$25,0,Financement!M34)</f>
        <v/>
      </c>
      <c r="O13" s="209">
        <f>IF(O$3&gt;Financement!$B$25,0,Financement!N34)</f>
        <v/>
      </c>
      <c r="P13" s="209">
        <f>IF(P$3&gt;Financement!$B$25,0,Financement!O34)</f>
        <v/>
      </c>
      <c r="Q13" s="209">
        <f>IF(Q$3&gt;Financement!$B$25,0,Financement!P34)</f>
        <v/>
      </c>
      <c r="R13" s="209">
        <f>IF(R$3&gt;Financement!$B$25,0,Financement!Q34)</f>
        <v/>
      </c>
      <c r="S13" s="209">
        <f>IF(S$3&gt;Financement!$B$25,0,Financement!R34)</f>
        <v/>
      </c>
      <c r="T13" s="209">
        <f>IF(T$3&gt;Financement!$B$25,0,Financement!S34)</f>
        <v/>
      </c>
      <c r="U13" s="209">
        <f>IF(U$3&gt;Financement!$B$25,0,Financement!T34)</f>
        <v/>
      </c>
      <c r="V13" s="209">
        <f>IF(V$3&gt;Financement!$B$25,0,Financement!U34)</f>
        <v/>
      </c>
      <c r="W13" s="209">
        <f>IF(W$3&gt;Financement!$B$25,0,Financement!V34)</f>
        <v/>
      </c>
      <c r="X13" s="209">
        <f>IF(X$3&gt;Financement!$B$25,0,Financement!W34)</f>
        <v/>
      </c>
      <c r="Y13" s="209">
        <f>IF(Y$3&gt;Financement!$B$25,0,Financement!X34)</f>
        <v/>
      </c>
      <c r="Z13" s="209">
        <f>IF(Z$3&gt;Financement!$B$25,0,Financement!Y34)</f>
        <v/>
      </c>
      <c r="AA13" s="209">
        <f>IF(AA$3&gt;Financement!$B$25,0,Financement!Z34)</f>
        <v/>
      </c>
      <c r="AB13" s="209">
        <f>IF(AB$3&gt;Financement!$B$25,0,Financement!AA34)</f>
        <v/>
      </c>
      <c r="AC13" s="209">
        <f>IF(AC$3&gt;Financement!$B$25,0,Financement!AB34)</f>
        <v/>
      </c>
      <c r="AD13" s="209">
        <f>IF(AD$3&gt;Financement!$B$25,0,Financement!AC34)</f>
        <v/>
      </c>
      <c r="AE13" s="209">
        <f>IF(AE$3&gt;Financement!$B$25,0,Financement!AD34)</f>
        <v/>
      </c>
      <c r="AF13" s="209">
        <f>IF(AF$3&gt;Financement!$B$25,0,Financement!AE34)</f>
        <v/>
      </c>
      <c r="AG13" s="209">
        <f>IF(AG$3&gt;Financement!$B$25,0,Financement!AF34)</f>
        <v/>
      </c>
      <c r="AH13" s="209">
        <f>IF(AH$3&gt;Financement!$B$25,0,Financement!AG34)</f>
        <v/>
      </c>
      <c r="AI13" s="209">
        <f>IF(AI$3&gt;Financement!$B$25,0,Financement!AH34)</f>
        <v/>
      </c>
      <c r="AJ13" s="209">
        <f>IF(AJ$3&gt;Financement!$B$25,0,Financement!AI34)</f>
        <v/>
      </c>
      <c r="AK13" s="209">
        <f>IF(AK$3&gt;Financement!$B$25,0,Financement!AJ34)</f>
        <v/>
      </c>
      <c r="AL13" s="209">
        <f>IF(AL$3&gt;Financement!$B$25,0,Financement!AK34)</f>
        <v/>
      </c>
      <c r="AM13" s="209">
        <f>IF(AM$3&gt;Financement!$B$25,0,Financement!AL34)</f>
        <v/>
      </c>
    </row>
    <row r="14">
      <c r="A14" s="89" t="inlineStr">
        <is>
          <t>Capitaux propres — apport</t>
        </is>
      </c>
      <c r="C14" s="209">
        <f>Financement!B14</f>
        <v/>
      </c>
      <c r="D14" s="209">
        <f>Financement!$B$14</f>
        <v/>
      </c>
      <c r="E14" s="209">
        <f>Financement!$B$14</f>
        <v/>
      </c>
      <c r="F14" s="209">
        <f>Financement!$B$14</f>
        <v/>
      </c>
      <c r="G14" s="209">
        <f>Financement!$B$14</f>
        <v/>
      </c>
      <c r="H14" s="209">
        <f>Financement!$B$14</f>
        <v/>
      </c>
      <c r="I14" s="209">
        <f>Financement!$B$14</f>
        <v/>
      </c>
      <c r="J14" s="209">
        <f>Financement!$B$14</f>
        <v/>
      </c>
      <c r="K14" s="209">
        <f>Financement!$B$14</f>
        <v/>
      </c>
      <c r="L14" s="209">
        <f>Financement!$B$14</f>
        <v/>
      </c>
      <c r="M14" s="209">
        <f>Financement!$B$14</f>
        <v/>
      </c>
      <c r="N14" s="209">
        <f>Financement!$B$14</f>
        <v/>
      </c>
      <c r="O14" s="209">
        <f>Financement!$B$14</f>
        <v/>
      </c>
      <c r="P14" s="209">
        <f>Financement!$B$14</f>
        <v/>
      </c>
      <c r="Q14" s="209">
        <f>Financement!$B$14</f>
        <v/>
      </c>
      <c r="R14" s="209">
        <f>Financement!$B$14</f>
        <v/>
      </c>
      <c r="S14" s="209">
        <f>Financement!$B$14</f>
        <v/>
      </c>
      <c r="T14" s="209">
        <f>Financement!$B$14</f>
        <v/>
      </c>
      <c r="U14" s="209">
        <f>Financement!$B$14</f>
        <v/>
      </c>
      <c r="V14" s="209">
        <f>Financement!$B$14</f>
        <v/>
      </c>
      <c r="W14" s="209">
        <f>Financement!$B$14</f>
        <v/>
      </c>
      <c r="X14" s="209">
        <f>Financement!$B$14</f>
        <v/>
      </c>
      <c r="Y14" s="209">
        <f>Financement!$B$14</f>
        <v/>
      </c>
      <c r="Z14" s="209">
        <f>Financement!$B$14</f>
        <v/>
      </c>
      <c r="AA14" s="209">
        <f>Financement!$B$14</f>
        <v/>
      </c>
      <c r="AB14" s="209">
        <f>Financement!$B$14</f>
        <v/>
      </c>
      <c r="AC14" s="209">
        <f>Financement!$B$14</f>
        <v/>
      </c>
      <c r="AD14" s="209">
        <f>Financement!$B$14</f>
        <v/>
      </c>
      <c r="AE14" s="209">
        <f>Financement!$B$14</f>
        <v/>
      </c>
      <c r="AF14" s="209">
        <f>Financement!$B$14</f>
        <v/>
      </c>
      <c r="AG14" s="209">
        <f>Financement!$B$14</f>
        <v/>
      </c>
      <c r="AH14" s="209">
        <f>Financement!$B$14</f>
        <v/>
      </c>
      <c r="AI14" s="209">
        <f>Financement!$B$14</f>
        <v/>
      </c>
      <c r="AJ14" s="209">
        <f>Financement!$B$14</f>
        <v/>
      </c>
      <c r="AK14" s="209">
        <f>Financement!$B$14</f>
        <v/>
      </c>
      <c r="AL14" s="209">
        <f>Financement!$B$14</f>
        <v/>
      </c>
      <c r="AM14" s="209">
        <f>Financement!$B$14</f>
        <v/>
      </c>
    </row>
    <row r="15">
      <c r="A15" s="89" t="inlineStr">
        <is>
          <t>Capitaux propres — résultat net cumulé</t>
        </is>
      </c>
      <c r="C15" s="211" t="n">
        <v>0</v>
      </c>
      <c r="D15" s="209">
        <f>SUM('P&amp;L'!B25:B25)</f>
        <v/>
      </c>
      <c r="E15" s="209">
        <f>SUM('P&amp;L'!B25:C25)</f>
        <v/>
      </c>
      <c r="F15" s="209">
        <f>SUM('P&amp;L'!B25:D25)</f>
        <v/>
      </c>
      <c r="G15" s="209">
        <f>SUM('P&amp;L'!B25:E25)</f>
        <v/>
      </c>
      <c r="H15" s="209">
        <f>SUM('P&amp;L'!B25:F25)</f>
        <v/>
      </c>
      <c r="I15" s="209">
        <f>SUM('P&amp;L'!B25:G25)</f>
        <v/>
      </c>
      <c r="J15" s="209">
        <f>SUM('P&amp;L'!B25:H25)</f>
        <v/>
      </c>
      <c r="K15" s="209">
        <f>SUM('P&amp;L'!B25:I25)</f>
        <v/>
      </c>
      <c r="L15" s="209">
        <f>SUM('P&amp;L'!B25:J25)</f>
        <v/>
      </c>
      <c r="M15" s="209">
        <f>SUM('P&amp;L'!B25:K25)</f>
        <v/>
      </c>
      <c r="N15" s="209">
        <f>SUM('P&amp;L'!B25:L25)</f>
        <v/>
      </c>
      <c r="O15" s="209">
        <f>SUM('P&amp;L'!B25:M25)</f>
        <v/>
      </c>
      <c r="P15" s="209">
        <f>SUM('P&amp;L'!B25:N25)</f>
        <v/>
      </c>
      <c r="Q15" s="209">
        <f>SUM('P&amp;L'!B25:O25)</f>
        <v/>
      </c>
      <c r="R15" s="209">
        <f>SUM('P&amp;L'!B25:P25)</f>
        <v/>
      </c>
      <c r="S15" s="209">
        <f>SUM('P&amp;L'!B25:Q25)</f>
        <v/>
      </c>
      <c r="T15" s="209">
        <f>SUM('P&amp;L'!B25:R25)</f>
        <v/>
      </c>
      <c r="U15" s="209">
        <f>SUM('P&amp;L'!B25:S25)</f>
        <v/>
      </c>
      <c r="V15" s="209">
        <f>SUM('P&amp;L'!B25:T25)</f>
        <v/>
      </c>
      <c r="W15" s="209">
        <f>SUM('P&amp;L'!B25:U25)</f>
        <v/>
      </c>
      <c r="X15" s="209">
        <f>SUM('P&amp;L'!B25:V25)</f>
        <v/>
      </c>
      <c r="Y15" s="209">
        <f>SUM('P&amp;L'!B25:W25)</f>
        <v/>
      </c>
      <c r="Z15" s="209">
        <f>SUM('P&amp;L'!B25:X25)</f>
        <v/>
      </c>
      <c r="AA15" s="209">
        <f>SUM('P&amp;L'!B25:Y25)</f>
        <v/>
      </c>
      <c r="AB15" s="209">
        <f>SUM('P&amp;L'!B25:Z25)</f>
        <v/>
      </c>
      <c r="AC15" s="209">
        <f>SUM('P&amp;L'!B25:AA25)</f>
        <v/>
      </c>
      <c r="AD15" s="209">
        <f>SUM('P&amp;L'!B25:AB25)</f>
        <v/>
      </c>
      <c r="AE15" s="209">
        <f>SUM('P&amp;L'!B25:AC25)</f>
        <v/>
      </c>
      <c r="AF15" s="209">
        <f>SUM('P&amp;L'!B25:AD25)</f>
        <v/>
      </c>
      <c r="AG15" s="209">
        <f>SUM('P&amp;L'!B25:AE25)</f>
        <v/>
      </c>
      <c r="AH15" s="209">
        <f>SUM('P&amp;L'!B25:AF25)</f>
        <v/>
      </c>
      <c r="AI15" s="209">
        <f>SUM('P&amp;L'!B25:AG25)</f>
        <v/>
      </c>
      <c r="AJ15" s="209">
        <f>SUM('P&amp;L'!B25:AH25)</f>
        <v/>
      </c>
      <c r="AK15" s="209">
        <f>SUM('P&amp;L'!B25:AI25)</f>
        <v/>
      </c>
      <c r="AL15" s="209">
        <f>SUM('P&amp;L'!B25:AJ25)</f>
        <v/>
      </c>
      <c r="AM15" s="209">
        <f>SUM('P&amp;L'!B25:AK25)</f>
        <v/>
      </c>
    </row>
    <row r="16" ht="16" customHeight="1" s="143">
      <c r="A16" s="92" t="inlineStr">
        <is>
          <t>TOTAL PASSIF + CP</t>
        </is>
      </c>
      <c r="C16" s="211">
        <f>C13+C14+C15</f>
        <v/>
      </c>
      <c r="D16" s="211">
        <f>D13+D14+D15</f>
        <v/>
      </c>
      <c r="E16" s="211">
        <f>E13+E14+E15</f>
        <v/>
      </c>
      <c r="F16" s="211">
        <f>F13+F14+F15</f>
        <v/>
      </c>
      <c r="G16" s="211">
        <f>G13+G14+G15</f>
        <v/>
      </c>
      <c r="H16" s="211">
        <f>H13+H14+H15</f>
        <v/>
      </c>
      <c r="I16" s="211">
        <f>I13+I14+I15</f>
        <v/>
      </c>
      <c r="J16" s="211">
        <f>J13+J14+J15</f>
        <v/>
      </c>
      <c r="K16" s="211">
        <f>K13+K14+K15</f>
        <v/>
      </c>
      <c r="L16" s="211">
        <f>L13+L14+L15</f>
        <v/>
      </c>
      <c r="M16" s="211">
        <f>M13+M14+M15</f>
        <v/>
      </c>
      <c r="N16" s="211">
        <f>N13+N14+N15</f>
        <v/>
      </c>
      <c r="O16" s="211">
        <f>O13+O14+O15</f>
        <v/>
      </c>
      <c r="P16" s="211">
        <f>P13+P14+P15</f>
        <v/>
      </c>
      <c r="Q16" s="211">
        <f>Q13+Q14+Q15</f>
        <v/>
      </c>
      <c r="R16" s="211">
        <f>R13+R14+R15</f>
        <v/>
      </c>
      <c r="S16" s="211">
        <f>S13+S14+S15</f>
        <v/>
      </c>
      <c r="T16" s="211">
        <f>T13+T14+T15</f>
        <v/>
      </c>
      <c r="U16" s="211">
        <f>U13+U14+U15</f>
        <v/>
      </c>
      <c r="V16" s="211">
        <f>V13+V14+V15</f>
        <v/>
      </c>
      <c r="W16" s="211">
        <f>W13+W14+W15</f>
        <v/>
      </c>
      <c r="X16" s="211">
        <f>X13+X14+X15</f>
        <v/>
      </c>
      <c r="Y16" s="211">
        <f>Y13+Y14+Y15</f>
        <v/>
      </c>
      <c r="Z16" s="211">
        <f>Z13+Z14+Z15</f>
        <v/>
      </c>
      <c r="AA16" s="211">
        <f>AA13+AA14+AA15</f>
        <v/>
      </c>
      <c r="AB16" s="211">
        <f>AB13+AB14+AB15</f>
        <v/>
      </c>
      <c r="AC16" s="211">
        <f>AC13+AC14+AC15</f>
        <v/>
      </c>
      <c r="AD16" s="211">
        <f>AD13+AD14+AD15</f>
        <v/>
      </c>
      <c r="AE16" s="211">
        <f>AE13+AE14+AE15</f>
        <v/>
      </c>
      <c r="AF16" s="211">
        <f>AF13+AF14+AF15</f>
        <v/>
      </c>
      <c r="AG16" s="211">
        <f>AG13+AG14+AG15</f>
        <v/>
      </c>
      <c r="AH16" s="211">
        <f>AH13+AH14+AH15</f>
        <v/>
      </c>
      <c r="AI16" s="211">
        <f>AI13+AI14+AI15</f>
        <v/>
      </c>
      <c r="AJ16" s="211">
        <f>AJ13+AJ14+AJ15</f>
        <v/>
      </c>
      <c r="AK16" s="211">
        <f>AK13+AK14+AK15</f>
        <v/>
      </c>
      <c r="AL16" s="211">
        <f>AL13+AL14+AL15</f>
        <v/>
      </c>
      <c r="AM16" s="211">
        <f>AM13+AM14+AM15</f>
        <v/>
      </c>
    </row>
    <row r="18" ht="16" customHeight="1" s="143">
      <c r="A18" s="92" t="inlineStr">
        <is>
          <t>Contrôle (actif − passif, doit = 0)</t>
        </is>
      </c>
      <c r="C18" s="211">
        <f>C10-C16</f>
        <v/>
      </c>
      <c r="D18" s="211">
        <f>D10-D16</f>
        <v/>
      </c>
      <c r="E18" s="211">
        <f>E10-E16</f>
        <v/>
      </c>
      <c r="F18" s="211">
        <f>F10-F16</f>
        <v/>
      </c>
      <c r="G18" s="211">
        <f>G10-G16</f>
        <v/>
      </c>
      <c r="H18" s="211">
        <f>H10-H16</f>
        <v/>
      </c>
      <c r="I18" s="211">
        <f>I10-I16</f>
        <v/>
      </c>
      <c r="J18" s="211">
        <f>J10-J16</f>
        <v/>
      </c>
      <c r="K18" s="211">
        <f>K10-K16</f>
        <v/>
      </c>
      <c r="L18" s="211">
        <f>L10-L16</f>
        <v/>
      </c>
      <c r="M18" s="211">
        <f>M10-M16</f>
        <v/>
      </c>
      <c r="N18" s="211">
        <f>N10-N16</f>
        <v/>
      </c>
      <c r="O18" s="211">
        <f>O10-O16</f>
        <v/>
      </c>
      <c r="P18" s="211">
        <f>P10-P16</f>
        <v/>
      </c>
      <c r="Q18" s="211">
        <f>Q10-Q16</f>
        <v/>
      </c>
      <c r="R18" s="211">
        <f>R10-R16</f>
        <v/>
      </c>
      <c r="S18" s="211">
        <f>S10-S16</f>
        <v/>
      </c>
      <c r="T18" s="211">
        <f>T10-T16</f>
        <v/>
      </c>
      <c r="U18" s="211">
        <f>U10-U16</f>
        <v/>
      </c>
      <c r="V18" s="211">
        <f>V10-V16</f>
        <v/>
      </c>
      <c r="W18" s="211">
        <f>W10-W16</f>
        <v/>
      </c>
      <c r="X18" s="211">
        <f>X10-X16</f>
        <v/>
      </c>
      <c r="Y18" s="211">
        <f>Y10-Y16</f>
        <v/>
      </c>
      <c r="Z18" s="211">
        <f>Z10-Z16</f>
        <v/>
      </c>
      <c r="AA18" s="211">
        <f>AA10-AA16</f>
        <v/>
      </c>
      <c r="AB18" s="211">
        <f>AB10-AB16</f>
        <v/>
      </c>
      <c r="AC18" s="211">
        <f>AC10-AC16</f>
        <v/>
      </c>
      <c r="AD18" s="211">
        <f>AD10-AD16</f>
        <v/>
      </c>
      <c r="AE18" s="211">
        <f>AE10-AE16</f>
        <v/>
      </c>
      <c r="AF18" s="211">
        <f>AF10-AF16</f>
        <v/>
      </c>
      <c r="AG18" s="211">
        <f>AG10-AG16</f>
        <v/>
      </c>
      <c r="AH18" s="211">
        <f>AH10-AH16</f>
        <v/>
      </c>
      <c r="AI18" s="211">
        <f>AI10-AI16</f>
        <v/>
      </c>
      <c r="AJ18" s="211">
        <f>AJ10-AJ16</f>
        <v/>
      </c>
      <c r="AK18" s="211">
        <f>AK10-AK16</f>
        <v/>
      </c>
      <c r="AL18" s="211">
        <f>AL10-AL16</f>
        <v/>
      </c>
      <c r="AM18" s="211">
        <f>AM10-AM16</f>
        <v/>
      </c>
    </row>
    <row r="19">
      <c r="A19" s="89" t="inlineStr">
        <is>
          <t>OK si abs(contrôle) &lt; 1 Ar</t>
        </is>
      </c>
      <c r="C19" s="93">
        <f>IF(ABS(C18)&lt;1,"OK","ÉCART")</f>
        <v/>
      </c>
      <c r="D19" s="93">
        <f>IF(ABS(D18)&lt;1,"OK","ÉCART")</f>
        <v/>
      </c>
      <c r="E19" s="93">
        <f>IF(ABS(E18)&lt;1,"OK","ÉCART")</f>
        <v/>
      </c>
      <c r="F19" s="93">
        <f>IF(ABS(F18)&lt;1,"OK","ÉCART")</f>
        <v/>
      </c>
      <c r="G19" s="93">
        <f>IF(ABS(G18)&lt;1,"OK","ÉCART")</f>
        <v/>
      </c>
      <c r="H19" s="93">
        <f>IF(ABS(H18)&lt;1,"OK","ÉCART")</f>
        <v/>
      </c>
      <c r="I19" s="93">
        <f>IF(ABS(I18)&lt;1,"OK","ÉCART")</f>
        <v/>
      </c>
      <c r="J19" s="93">
        <f>IF(ABS(J18)&lt;1,"OK","ÉCART")</f>
        <v/>
      </c>
      <c r="K19" s="93">
        <f>IF(ABS(K18)&lt;1,"OK","ÉCART")</f>
        <v/>
      </c>
      <c r="L19" s="93">
        <f>IF(ABS(L18)&lt;1,"OK","ÉCART")</f>
        <v/>
      </c>
      <c r="M19" s="93">
        <f>IF(ABS(M18)&lt;1,"OK","ÉCART")</f>
        <v/>
      </c>
      <c r="N19" s="93">
        <f>IF(ABS(N18)&lt;1,"OK","ÉCART")</f>
        <v/>
      </c>
      <c r="O19" s="93">
        <f>IF(ABS(O18)&lt;1,"OK","ÉCART")</f>
        <v/>
      </c>
      <c r="P19" s="93">
        <f>IF(ABS(P18)&lt;1,"OK","ÉCART")</f>
        <v/>
      </c>
      <c r="Q19" s="93">
        <f>IF(ABS(Q18)&lt;1,"OK","ÉCART")</f>
        <v/>
      </c>
      <c r="R19" s="93">
        <f>IF(ABS(R18)&lt;1,"OK","ÉCART")</f>
        <v/>
      </c>
      <c r="S19" s="93">
        <f>IF(ABS(S18)&lt;1,"OK","ÉCART")</f>
        <v/>
      </c>
      <c r="T19" s="93">
        <f>IF(ABS(T18)&lt;1,"OK","ÉCART")</f>
        <v/>
      </c>
      <c r="U19" s="93">
        <f>IF(ABS(U18)&lt;1,"OK","ÉCART")</f>
        <v/>
      </c>
      <c r="V19" s="93">
        <f>IF(ABS(V18)&lt;1,"OK","ÉCART")</f>
        <v/>
      </c>
      <c r="W19" s="93">
        <f>IF(ABS(W18)&lt;1,"OK","ÉCART")</f>
        <v/>
      </c>
      <c r="X19" s="93">
        <f>IF(ABS(X18)&lt;1,"OK","ÉCART")</f>
        <v/>
      </c>
      <c r="Y19" s="93">
        <f>IF(ABS(Y18)&lt;1,"OK","ÉCART")</f>
        <v/>
      </c>
      <c r="Z19" s="93">
        <f>IF(ABS(Z18)&lt;1,"OK","ÉCART")</f>
        <v/>
      </c>
      <c r="AA19" s="93">
        <f>IF(ABS(AA18)&lt;1,"OK","ÉCART")</f>
        <v/>
      </c>
      <c r="AB19" s="93">
        <f>IF(ABS(AB18)&lt;1,"OK","ÉCART")</f>
        <v/>
      </c>
      <c r="AC19" s="93">
        <f>IF(ABS(AC18)&lt;1,"OK","ÉCART")</f>
        <v/>
      </c>
      <c r="AD19" s="93">
        <f>IF(ABS(AD18)&lt;1,"OK","ÉCART")</f>
        <v/>
      </c>
      <c r="AE19" s="93">
        <f>IF(ABS(AE18)&lt;1,"OK","ÉCART")</f>
        <v/>
      </c>
      <c r="AF19" s="93">
        <f>IF(ABS(AF18)&lt;1,"OK","ÉCART")</f>
        <v/>
      </c>
      <c r="AG19" s="93">
        <f>IF(ABS(AG18)&lt;1,"OK","ÉCART")</f>
        <v/>
      </c>
      <c r="AH19" s="93">
        <f>IF(ABS(AH18)&lt;1,"OK","ÉCART")</f>
        <v/>
      </c>
      <c r="AI19" s="93">
        <f>IF(ABS(AI18)&lt;1,"OK","ÉCART")</f>
        <v/>
      </c>
      <c r="AJ19" s="93">
        <f>IF(ABS(AJ18)&lt;1,"OK","ÉCART")</f>
        <v/>
      </c>
      <c r="AK19" s="93">
        <f>IF(ABS(AK18)&lt;1,"OK","ÉCART")</f>
        <v/>
      </c>
      <c r="AL19" s="93">
        <f>IF(ABS(AL18)&lt;1,"OK","ÉCART")</f>
        <v/>
      </c>
      <c r="AM19" s="93">
        <f>IF(ABS(AM18)&lt;1,"OK","ÉCART")</f>
        <v/>
      </c>
    </row>
    <row r="21" ht="36" customHeight="1" s="143">
      <c r="A21" s="144" t="inlineStr">
        <is>
          <t>Simplifications : pas de créances clients (encaissement Mobile Money), impôt payé au mois 12 de chaque exercice (déjà dans le RN et la trésorerie), pas de BFR stocks. Identité : VNC + caisse = dette + apport + RN cumulé.</t>
        </is>
      </c>
    </row>
  </sheetData>
  <mergeCells count="2">
    <mergeCell ref="A1:AM1"/>
    <mergeCell ref="A21:G21"/>
  </mergeCells>
  <conditionalFormatting sqref="C18:AM18">
    <cfRule type="expression" priority="1" dxfId="0">
      <formula>ABS(C18)&gt;1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zoomScaleNormal="100" workbookViewId="0">
      <selection activeCell="F25" sqref="F25"/>
    </sheetView>
  </sheetViews>
  <sheetFormatPr baseColWidth="10" defaultColWidth="8.83203125" defaultRowHeight="15"/>
  <cols>
    <col width="30" customWidth="1" style="143" min="1" max="1"/>
    <col width="22" customWidth="1" style="143" min="2" max="2"/>
    <col width="14" customWidth="1" style="143" min="3" max="13"/>
  </cols>
  <sheetData>
    <row r="1" ht="22" customHeight="1" s="143">
      <c r="A1" s="6" t="inlineStr">
        <is>
          <t>AMORTISSEMENTS — linéaires, IFRS (IAS 16 corporelles / IAS 38 incorporelles)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3" ht="15" customHeight="1" s="143">
      <c r="A3" s="67" t="inlineStr">
        <is>
          <t>Immobilisation</t>
        </is>
      </c>
      <c r="B3" s="67" t="inlineStr">
        <is>
          <t>Norme IFRS</t>
        </is>
      </c>
      <c r="C3" s="67" t="inlineStr">
        <is>
          <t>Qté</t>
        </is>
      </c>
      <c r="D3" s="67" t="inlineStr">
        <is>
          <t>PU (Ar)</t>
        </is>
      </c>
      <c r="E3" s="67" t="inlineStr">
        <is>
          <t>Valeur brute</t>
        </is>
      </c>
      <c r="F3" s="67" t="inlineStr">
        <is>
          <t>Durée (ans)</t>
        </is>
      </c>
      <c r="G3" s="67" t="inlineStr">
        <is>
          <t>Amort. annuel</t>
        </is>
      </c>
      <c r="H3" s="67" t="inlineStr">
        <is>
          <t>Amort. mensuel</t>
        </is>
      </c>
      <c r="I3" s="67" t="inlineStr">
        <is>
          <t>Année 1</t>
        </is>
      </c>
      <c r="J3" s="67" t="inlineStr">
        <is>
          <t>Année 2</t>
        </is>
      </c>
      <c r="K3" s="67" t="inlineStr">
        <is>
          <t>Année 3</t>
        </is>
      </c>
      <c r="L3" s="67" t="inlineStr">
        <is>
          <t>Cumul 3 ans</t>
        </is>
      </c>
      <c r="M3" s="67" t="inlineStr">
        <is>
          <t>VNC fin A3</t>
        </is>
      </c>
    </row>
    <row r="4" ht="15" customHeight="1" s="143">
      <c r="A4" s="11" t="inlineStr">
        <is>
          <t>Ordinateur portable</t>
        </is>
      </c>
      <c r="B4" s="11" t="inlineStr">
        <is>
          <t>IAS 16 — corporelle</t>
        </is>
      </c>
      <c r="C4" s="94">
        <f>Parametres!$B$133</f>
        <v/>
      </c>
      <c r="D4" s="94">
        <f>Parametres!$C$133</f>
        <v/>
      </c>
      <c r="E4" s="94">
        <f>Parametres!$D$133</f>
        <v/>
      </c>
      <c r="F4" s="94">
        <f>Parametres!$E$133</f>
        <v/>
      </c>
      <c r="G4" s="95">
        <f>E4/F4</f>
        <v/>
      </c>
      <c r="H4" s="95">
        <f>G4/12</f>
        <v/>
      </c>
      <c r="I4" s="95">
        <f>G4</f>
        <v/>
      </c>
      <c r="J4" s="95">
        <f>G4</f>
        <v/>
      </c>
      <c r="K4" s="95">
        <f>G4</f>
        <v/>
      </c>
      <c r="L4" s="95">
        <f>SUM(I4:K4)</f>
        <v/>
      </c>
      <c r="M4" s="95">
        <f>E4-L4</f>
        <v/>
      </c>
    </row>
    <row r="5" ht="15" customHeight="1" s="143">
      <c r="A5" s="11" t="inlineStr">
        <is>
          <t>Design graphique UI/UX</t>
        </is>
      </c>
      <c r="B5" s="11" t="inlineStr">
        <is>
          <t>IAS 38 — incorporelle</t>
        </is>
      </c>
      <c r="C5" s="94">
        <f>Parametres!$B$134</f>
        <v/>
      </c>
      <c r="D5" s="94">
        <f>Parametres!$C$134</f>
        <v/>
      </c>
      <c r="E5" s="94">
        <f>Parametres!$D$134</f>
        <v/>
      </c>
      <c r="F5" s="94">
        <f>Parametres!$E$134</f>
        <v/>
      </c>
      <c r="G5" s="95">
        <f>E5/F5</f>
        <v/>
      </c>
      <c r="H5" s="95">
        <f>G5/12</f>
        <v/>
      </c>
      <c r="I5" s="95">
        <f>G5</f>
        <v/>
      </c>
      <c r="J5" s="95">
        <f>G5</f>
        <v/>
      </c>
      <c r="K5" s="95">
        <f>G5</f>
        <v/>
      </c>
      <c r="L5" s="95">
        <f>SUM(I5:K5)</f>
        <v/>
      </c>
      <c r="M5" s="95">
        <f>E5-L5</f>
        <v/>
      </c>
    </row>
    <row r="6" ht="15" customHeight="1" s="143">
      <c r="A6" s="72" t="inlineStr">
        <is>
          <t>TOTAL</t>
        </is>
      </c>
      <c r="C6" s="3" t="n"/>
      <c r="D6" s="3" t="n"/>
      <c r="E6" s="96">
        <f>SUM(E4:E5)</f>
        <v/>
      </c>
      <c r="F6" s="4" t="n"/>
      <c r="G6" s="96">
        <f>SUM(G4:G5)</f>
        <v/>
      </c>
      <c r="H6" s="96">
        <f>SUM(H4:H5)</f>
        <v/>
      </c>
      <c r="I6" s="96">
        <f>SUM(I4:I5)</f>
        <v/>
      </c>
      <c r="J6" s="96">
        <f>SUM(J4:J5)</f>
        <v/>
      </c>
      <c r="K6" s="96">
        <f>SUM(K4:K5)</f>
        <v/>
      </c>
      <c r="L6" s="96">
        <f>SUM(L4:L5)</f>
        <v/>
      </c>
      <c r="M6" s="96">
        <f>SUM(M4:M5)</f>
        <v/>
      </c>
    </row>
    <row r="8" ht="15" customHeight="1" s="143">
      <c r="A8" s="11" t="inlineStr">
        <is>
          <t>Hypothèse : mise en service au mois 1 ; amortissement linéaire sans valeur résiduelle (IAS 16.50 / IAS 38.97). VNC = valeur nette comptable.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50"/>
  <sheetViews>
    <sheetView showGridLines="0" tabSelected="1" zoomScaleNormal="100" workbookViewId="0">
      <selection activeCell="F15" sqref="F15"/>
    </sheetView>
  </sheetViews>
  <sheetFormatPr baseColWidth="10" defaultColWidth="8.83203125" defaultRowHeight="15"/>
  <cols>
    <col width="84" customWidth="1" style="143" min="1" max="1"/>
    <col width="16" customWidth="1" style="143" min="2" max="2"/>
    <col width="11" customWidth="1" style="143" min="3" max="38"/>
    <col width="11" customWidth="1" style="143" min="4" max="4"/>
    <col width="11" customWidth="1" style="143" min="5" max="5"/>
    <col width="11" customWidth="1" style="143" min="6" max="6"/>
    <col width="11" customWidth="1" style="143" min="7" max="7"/>
    <col width="11" customWidth="1" style="143" min="8" max="8"/>
    <col width="11" customWidth="1" style="143" min="9" max="9"/>
    <col width="11" customWidth="1" style="143" min="10" max="10"/>
    <col width="11" customWidth="1" style="143" min="11" max="11"/>
    <col width="11" customWidth="1" style="143" min="12" max="12"/>
    <col width="11" customWidth="1" style="143" min="13" max="13"/>
    <col width="11" customWidth="1" style="143" min="14" max="14"/>
    <col width="11" customWidth="1" style="143" min="15" max="15"/>
    <col width="11" customWidth="1" style="143" min="16" max="16"/>
    <col width="11" customWidth="1" style="143" min="17" max="17"/>
    <col width="11" customWidth="1" style="143" min="18" max="18"/>
    <col width="11" customWidth="1" style="143" min="19" max="19"/>
    <col width="11" customWidth="1" style="143" min="20" max="20"/>
    <col width="11" customWidth="1" style="143" min="21" max="21"/>
    <col width="11" customWidth="1" style="143" min="22" max="22"/>
    <col width="11" customWidth="1" style="143" min="23" max="23"/>
    <col width="11" customWidth="1" style="143" min="24" max="24"/>
    <col width="11" customWidth="1" style="143" min="25" max="25"/>
    <col width="11" customWidth="1" style="143" min="26" max="26"/>
    <col width="11" customWidth="1" style="143" min="27" max="27"/>
    <col width="11" customWidth="1" style="143" min="28" max="28"/>
    <col width="11" customWidth="1" style="143" min="29" max="29"/>
    <col width="11" customWidth="1" style="143" min="30" max="30"/>
    <col width="11" customWidth="1" style="143" min="31" max="31"/>
    <col width="11" customWidth="1" style="143" min="32" max="32"/>
    <col width="11" customWidth="1" style="143" min="33" max="33"/>
    <col width="11" customWidth="1" style="143" min="34" max="34"/>
    <col width="11" customWidth="1" style="143" min="35" max="35"/>
    <col width="11" customWidth="1" style="143" min="36" max="36"/>
    <col width="11" customWidth="1" style="143" min="37" max="37"/>
    <col width="11" customWidth="1" style="143" min="38" max="38"/>
  </cols>
  <sheetData>
    <row r="1" ht="22" customHeight="1" s="143">
      <c r="A1" s="159" t="inlineStr">
        <is>
          <t>FINANCEMENT — besoin initial, plan de financement (Ask), emprunt et validation sur 3 ans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  <c r="AA1" s="159" t="n"/>
      <c r="AB1" s="159" t="n"/>
      <c r="AC1" s="159" t="n"/>
      <c r="AD1" s="159" t="n"/>
      <c r="AE1" s="159" t="n"/>
      <c r="AF1" s="159" t="n"/>
      <c r="AG1" s="159" t="n"/>
      <c r="AH1" s="159" t="n"/>
      <c r="AI1" s="159" t="n"/>
      <c r="AJ1" s="159" t="n"/>
      <c r="AK1" s="159" t="n"/>
      <c r="AL1" s="159" t="n"/>
      <c r="AM1" s="149" t="n"/>
      <c r="AN1" s="149" t="n"/>
    </row>
    <row r="2" s="143">
      <c r="A2" s="149" t="n"/>
      <c r="B2" s="149" t="n"/>
      <c r="C2" s="149" t="n"/>
      <c r="D2" s="149" t="n"/>
      <c r="E2" s="149" t="n"/>
      <c r="F2" s="149" t="n"/>
      <c r="G2" s="149" t="n"/>
      <c r="H2" s="149" t="n"/>
      <c r="I2" s="149" t="n"/>
      <c r="J2" s="149" t="n"/>
      <c r="K2" s="149" t="n"/>
      <c r="L2" s="149" t="n"/>
      <c r="M2" s="149" t="n"/>
      <c r="N2" s="149" t="n"/>
      <c r="O2" s="149" t="n"/>
      <c r="P2" s="149" t="n"/>
      <c r="Q2" s="149" t="n"/>
      <c r="R2" s="149" t="n"/>
      <c r="S2" s="149" t="n"/>
      <c r="T2" s="149" t="n"/>
      <c r="U2" s="149" t="n"/>
      <c r="V2" s="149" t="n"/>
      <c r="W2" s="149" t="n"/>
      <c r="X2" s="149" t="n"/>
      <c r="Y2" s="149" t="n"/>
      <c r="Z2" s="149" t="n"/>
      <c r="AA2" s="149" t="n"/>
      <c r="AB2" s="149" t="n"/>
      <c r="AC2" s="149" t="n"/>
      <c r="AD2" s="149" t="n"/>
      <c r="AE2" s="149" t="n"/>
      <c r="AF2" s="149" t="n"/>
      <c r="AG2" s="149" t="n"/>
      <c r="AH2" s="149" t="n"/>
      <c r="AI2" s="149" t="n"/>
      <c r="AJ2" s="149" t="n"/>
      <c r="AK2" s="149" t="n"/>
      <c r="AL2" s="149" t="n"/>
      <c r="AM2" s="149" t="n"/>
      <c r="AN2" s="149" t="n"/>
    </row>
    <row r="3" ht="18" customHeight="1" s="143">
      <c r="A3" s="150" t="inlineStr">
        <is>
          <t>BESOIN DE FINANCEMENT INITIAL</t>
        </is>
      </c>
      <c r="B3" s="150" t="n"/>
      <c r="C3" s="150" t="n"/>
      <c r="D3" s="150" t="n"/>
      <c r="E3" s="150" t="n"/>
      <c r="F3" s="150" t="n"/>
      <c r="G3" s="150" t="n"/>
      <c r="H3" s="150" t="n"/>
      <c r="I3" s="150" t="n"/>
      <c r="J3" s="150" t="n"/>
      <c r="K3" s="150" t="n"/>
      <c r="L3" s="150" t="n"/>
      <c r="M3" s="150" t="n"/>
      <c r="N3" s="150" t="n"/>
      <c r="O3" s="150" t="n"/>
      <c r="P3" s="150" t="n"/>
      <c r="Q3" s="150" t="n"/>
      <c r="R3" s="150" t="n"/>
      <c r="S3" s="150" t="n"/>
      <c r="T3" s="150" t="n"/>
      <c r="U3" s="150" t="n"/>
      <c r="V3" s="150" t="n"/>
      <c r="W3" s="150" t="n"/>
      <c r="X3" s="150" t="n"/>
      <c r="Y3" s="150" t="n"/>
      <c r="Z3" s="150" t="n"/>
      <c r="AA3" s="150" t="n"/>
      <c r="AB3" s="150" t="n"/>
      <c r="AC3" s="150" t="n"/>
      <c r="AD3" s="150" t="n"/>
      <c r="AE3" s="150" t="n"/>
      <c r="AF3" s="150" t="n"/>
      <c r="AG3" s="150" t="n"/>
      <c r="AH3" s="150" t="n"/>
      <c r="AI3" s="150" t="n"/>
      <c r="AJ3" s="150" t="n"/>
      <c r="AK3" s="150" t="n"/>
      <c r="AL3" s="150" t="n"/>
      <c r="AM3" s="149" t="n"/>
      <c r="AN3" s="149" t="n"/>
    </row>
    <row r="4" s="143">
      <c r="A4" s="149" t="inlineStr">
        <is>
          <t>CAPEX (investissements, choc stress inclus)</t>
        </is>
      </c>
      <c r="B4" s="168">
        <f>Parametres!$D$135*(1+IF(Parametres!$B$158=1,Parametres!$B$162,0))</f>
        <v/>
      </c>
      <c r="C4" s="149" t="n"/>
      <c r="D4" s="149" t="n"/>
      <c r="E4" s="149" t="n"/>
      <c r="F4" s="149" t="n"/>
      <c r="G4" s="149" t="n"/>
      <c r="H4" s="149" t="n"/>
      <c r="I4" s="149" t="n"/>
      <c r="J4" s="149" t="n"/>
      <c r="K4" s="149" t="n"/>
      <c r="L4" s="149" t="n"/>
      <c r="M4" s="149" t="n"/>
      <c r="N4" s="149" t="n"/>
      <c r="O4" s="149" t="n"/>
      <c r="P4" s="149" t="n"/>
      <c r="Q4" s="149" t="n"/>
      <c r="R4" s="149" t="n"/>
      <c r="S4" s="149" t="n"/>
      <c r="T4" s="149" t="n"/>
      <c r="U4" s="149" t="n"/>
      <c r="V4" s="149" t="n"/>
      <c r="W4" s="149" t="n"/>
      <c r="X4" s="149" t="n"/>
      <c r="Y4" s="149" t="n"/>
      <c r="Z4" s="149" t="n"/>
      <c r="AA4" s="149" t="n"/>
      <c r="AB4" s="149" t="n"/>
      <c r="AC4" s="149" t="n"/>
      <c r="AD4" s="149" t="n"/>
      <c r="AE4" s="149" t="n"/>
      <c r="AF4" s="149" t="n"/>
      <c r="AG4" s="149" t="n"/>
      <c r="AH4" s="149" t="n"/>
      <c r="AI4" s="149" t="n"/>
      <c r="AJ4" s="149" t="n"/>
      <c r="AK4" s="149" t="n"/>
      <c r="AL4" s="149" t="n"/>
      <c r="AM4" s="149" t="n"/>
      <c r="AN4" s="149" t="n"/>
    </row>
    <row r="5" s="143">
      <c r="A5" s="149" t="inlineStr">
        <is>
          <t>Charges fixes mensuelles année 1 (OPEX chargés + budget publicité A1)</t>
        </is>
      </c>
      <c r="B5" s="168">
        <f>Parametres!$D$121+Parametres!$D$63</f>
        <v/>
      </c>
      <c r="C5" s="217" t="inlineStr">
        <is>
          <t>Parametres sections 13 et 9 — multiplicateur scénario et choc stress inclus.</t>
        </is>
      </c>
      <c r="D5" s="149" t="n"/>
      <c r="E5" s="149" t="n"/>
      <c r="F5" s="149" t="n"/>
      <c r="G5" s="149" t="n"/>
      <c r="H5" s="149" t="n"/>
      <c r="I5" s="149" t="n"/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9" t="n"/>
      <c r="U5" s="149" t="n"/>
      <c r="V5" s="149" t="n"/>
      <c r="W5" s="149" t="n"/>
      <c r="X5" s="149" t="n"/>
      <c r="Y5" s="149" t="n"/>
      <c r="Z5" s="149" t="n"/>
      <c r="AA5" s="149" t="n"/>
      <c r="AB5" s="149" t="n"/>
      <c r="AC5" s="149" t="n"/>
      <c r="AD5" s="149" t="n"/>
      <c r="AE5" s="149" t="n"/>
      <c r="AF5" s="149" t="n"/>
      <c r="AG5" s="149" t="n"/>
      <c r="AH5" s="149" t="n"/>
      <c r="AI5" s="149" t="n"/>
      <c r="AJ5" s="149" t="n"/>
      <c r="AK5" s="149" t="n"/>
      <c r="AL5" s="149" t="n"/>
      <c r="AM5" s="149" t="n"/>
      <c r="AN5" s="149" t="n"/>
    </row>
    <row r="6" s="143">
      <c r="A6" s="149" t="inlineStr">
        <is>
          <t>Coûts variables du mois 1</t>
        </is>
      </c>
      <c r="B6" s="168">
        <f>-'P&amp;L'!B7</f>
        <v/>
      </c>
      <c r="C6" s="217" t="inlineStr">
        <is>
          <t>Mobile Money, SMS, support, vérification, litiges du premier mois.</t>
        </is>
      </c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49" t="n"/>
      <c r="R6" s="149" t="n"/>
      <c r="S6" s="149" t="n"/>
      <c r="T6" s="149" t="n"/>
      <c r="U6" s="149" t="n"/>
      <c r="V6" s="149" t="n"/>
      <c r="W6" s="149" t="n"/>
      <c r="X6" s="149" t="n"/>
      <c r="Y6" s="149" t="n"/>
      <c r="Z6" s="149" t="n"/>
      <c r="AA6" s="149" t="n"/>
      <c r="AB6" s="149" t="n"/>
      <c r="AC6" s="149" t="n"/>
      <c r="AD6" s="149" t="n"/>
      <c r="AE6" s="149" t="n"/>
      <c r="AF6" s="149" t="n"/>
      <c r="AG6" s="149" t="n"/>
      <c r="AH6" s="149" t="n"/>
      <c r="AI6" s="149" t="n"/>
      <c r="AJ6" s="149" t="n"/>
      <c r="AK6" s="149" t="n"/>
      <c r="AL6" s="149" t="n"/>
      <c r="AM6" s="149" t="n"/>
      <c r="AN6" s="149" t="n"/>
    </row>
    <row r="7" s="143">
      <c r="A7" s="149" t="inlineStr">
        <is>
          <t>Nombre de mois de démarrage couverts</t>
        </is>
      </c>
      <c r="B7" s="153">
        <f>Parametres!$D$140</f>
        <v/>
      </c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  <c r="AC7" s="149" t="n"/>
      <c r="AD7" s="149" t="n"/>
      <c r="AE7" s="149" t="n"/>
      <c r="AF7" s="149" t="n"/>
      <c r="AG7" s="149" t="n"/>
      <c r="AH7" s="149" t="n"/>
      <c r="AI7" s="149" t="n"/>
      <c r="AJ7" s="149" t="n"/>
      <c r="AK7" s="149" t="n"/>
      <c r="AL7" s="149" t="n"/>
      <c r="AM7" s="149" t="n"/>
      <c r="AN7" s="149" t="n"/>
    </row>
    <row r="8" s="143">
      <c r="A8" s="147" t="inlineStr">
        <is>
          <t>Besoin de démarrage (N mois × (charges fixes + coûts variables M1))</t>
        </is>
      </c>
      <c r="B8" s="205">
        <f>B7*(B5+B6)</f>
        <v/>
      </c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49" t="n"/>
      <c r="Z8" s="149" t="n"/>
      <c r="AA8" s="149" t="n"/>
      <c r="AB8" s="149" t="n"/>
      <c r="AC8" s="149" t="n"/>
      <c r="AD8" s="149" t="n"/>
      <c r="AE8" s="149" t="n"/>
      <c r="AF8" s="149" t="n"/>
      <c r="AG8" s="149" t="n"/>
      <c r="AH8" s="149" t="n"/>
      <c r="AI8" s="149" t="n"/>
      <c r="AJ8" s="149" t="n"/>
      <c r="AK8" s="149" t="n"/>
      <c r="AL8" s="149" t="n"/>
      <c r="AM8" s="149" t="n"/>
      <c r="AN8" s="149" t="n"/>
    </row>
    <row r="9" s="143">
      <c r="A9" s="149" t="inlineStr">
        <is>
          <t>Nombre de mois de charges fixes en sécurité</t>
        </is>
      </c>
      <c r="B9" s="153">
        <f>Parametres!$D$141</f>
        <v/>
      </c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149" t="n"/>
      <c r="O9" s="149" t="n"/>
      <c r="P9" s="149" t="n"/>
      <c r="Q9" s="149" t="n"/>
      <c r="R9" s="149" t="n"/>
      <c r="S9" s="149" t="n"/>
      <c r="T9" s="149" t="n"/>
      <c r="U9" s="149" t="n"/>
      <c r="V9" s="149" t="n"/>
      <c r="W9" s="149" t="n"/>
      <c r="X9" s="149" t="n"/>
      <c r="Y9" s="149" t="n"/>
      <c r="Z9" s="149" t="n"/>
      <c r="AA9" s="149" t="n"/>
      <c r="AB9" s="149" t="n"/>
      <c r="AC9" s="149" t="n"/>
      <c r="AD9" s="149" t="n"/>
      <c r="AE9" s="149" t="n"/>
      <c r="AF9" s="149" t="n"/>
      <c r="AG9" s="149" t="n"/>
      <c r="AH9" s="149" t="n"/>
      <c r="AI9" s="149" t="n"/>
      <c r="AJ9" s="149" t="n"/>
      <c r="AK9" s="149" t="n"/>
      <c r="AL9" s="149" t="n"/>
      <c r="AM9" s="149" t="n"/>
      <c r="AN9" s="149" t="n"/>
    </row>
    <row r="10" s="143">
      <c r="A10" s="147" t="inlineStr">
        <is>
          <t>Trésorerie de sécurité (N mois × charges fixes) — cible de la validation</t>
        </is>
      </c>
      <c r="B10" s="205">
        <f>B9*B5</f>
        <v/>
      </c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149" t="n"/>
      <c r="O10" s="149" t="n"/>
      <c r="P10" s="149" t="n"/>
      <c r="Q10" s="149" t="n"/>
      <c r="R10" s="149" t="n"/>
      <c r="S10" s="149" t="n"/>
      <c r="T10" s="149" t="n"/>
      <c r="U10" s="149" t="n"/>
      <c r="V10" s="149" t="n"/>
      <c r="W10" s="149" t="n"/>
      <c r="X10" s="149" t="n"/>
      <c r="Y10" s="149" t="n"/>
      <c r="Z10" s="149" t="n"/>
      <c r="AA10" s="149" t="n"/>
      <c r="AB10" s="149" t="n"/>
      <c r="AC10" s="149" t="n"/>
      <c r="AD10" s="149" t="n"/>
      <c r="AE10" s="149" t="n"/>
      <c r="AF10" s="149" t="n"/>
      <c r="AG10" s="149" t="n"/>
      <c r="AH10" s="149" t="n"/>
      <c r="AI10" s="149" t="n"/>
      <c r="AJ10" s="149" t="n"/>
      <c r="AK10" s="149" t="n"/>
      <c r="AL10" s="149" t="n"/>
      <c r="AM10" s="149" t="n"/>
      <c r="AN10" s="149" t="n"/>
    </row>
    <row r="11" s="143">
      <c r="A11" s="172" t="inlineStr">
        <is>
          <t>TOTAL BESOIN DE FINANCEMENT</t>
        </is>
      </c>
      <c r="B11" s="189">
        <f>B4+B8+B10</f>
        <v/>
      </c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S11" s="149" t="n"/>
      <c r="T11" s="149" t="n"/>
      <c r="U11" s="149" t="n"/>
      <c r="V11" s="149" t="n"/>
      <c r="W11" s="149" t="n"/>
      <c r="X11" s="149" t="n"/>
      <c r="Y11" s="149" t="n"/>
      <c r="Z11" s="149" t="n"/>
      <c r="AA11" s="149" t="n"/>
      <c r="AB11" s="149" t="n"/>
      <c r="AC11" s="149" t="n"/>
      <c r="AD11" s="149" t="n"/>
      <c r="AE11" s="149" t="n"/>
      <c r="AF11" s="149" t="n"/>
      <c r="AG11" s="149" t="n"/>
      <c r="AH11" s="149" t="n"/>
      <c r="AI11" s="149" t="n"/>
      <c r="AJ11" s="149" t="n"/>
      <c r="AK11" s="149" t="n"/>
      <c r="AL11" s="149" t="n"/>
      <c r="AM11" s="149" t="n"/>
      <c r="AN11" s="149" t="n"/>
    </row>
    <row r="12" s="143">
      <c r="A12" s="149" t="n"/>
      <c r="B12" s="149" t="n"/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149" t="n"/>
      <c r="O12" s="149" t="n"/>
      <c r="P12" s="149" t="n"/>
      <c r="Q12" s="149" t="n"/>
      <c r="R12" s="149" t="n"/>
      <c r="S12" s="149" t="n"/>
      <c r="T12" s="149" t="n"/>
      <c r="U12" s="149" t="n"/>
      <c r="V12" s="149" t="n"/>
      <c r="W12" s="149" t="n"/>
      <c r="X12" s="149" t="n"/>
      <c r="Y12" s="149" t="n"/>
      <c r="Z12" s="149" t="n"/>
      <c r="AA12" s="149" t="n"/>
      <c r="AB12" s="149" t="n"/>
      <c r="AC12" s="149" t="n"/>
      <c r="AD12" s="149" t="n"/>
      <c r="AE12" s="149" t="n"/>
      <c r="AF12" s="149" t="n"/>
      <c r="AG12" s="149" t="n"/>
      <c r="AH12" s="149" t="n"/>
      <c r="AI12" s="149" t="n"/>
      <c r="AJ12" s="149" t="n"/>
      <c r="AK12" s="149" t="n"/>
      <c r="AL12" s="149" t="n"/>
      <c r="AM12" s="149" t="n"/>
      <c r="AN12" s="149" t="n"/>
    </row>
    <row r="13" ht="18" customHeight="1" s="143">
      <c r="A13" s="150" t="inlineStr">
        <is>
          <t>PLAN DE FINANCEMENT &amp; ASK (demande de fonds)</t>
        </is>
      </c>
      <c r="B13" s="150" t="n"/>
      <c r="C13" s="150" t="n"/>
      <c r="D13" s="150" t="n"/>
      <c r="E13" s="150" t="n"/>
      <c r="F13" s="150" t="n"/>
      <c r="G13" s="150" t="n"/>
      <c r="H13" s="150" t="n"/>
      <c r="I13" s="150" t="n"/>
      <c r="J13" s="150" t="n"/>
      <c r="K13" s="150" t="n"/>
      <c r="L13" s="150" t="n"/>
      <c r="M13" s="150" t="n"/>
      <c r="N13" s="150" t="n"/>
      <c r="O13" s="150" t="n"/>
      <c r="P13" s="150" t="n"/>
      <c r="Q13" s="150" t="n"/>
      <c r="R13" s="150" t="n"/>
      <c r="S13" s="150" t="n"/>
      <c r="T13" s="150" t="n"/>
      <c r="U13" s="150" t="n"/>
      <c r="V13" s="150" t="n"/>
      <c r="W13" s="150" t="n"/>
      <c r="X13" s="150" t="n"/>
      <c r="Y13" s="150" t="n"/>
      <c r="Z13" s="150" t="n"/>
      <c r="AA13" s="150" t="n"/>
      <c r="AB13" s="150" t="n"/>
      <c r="AC13" s="150" t="n"/>
      <c r="AD13" s="150" t="n"/>
      <c r="AE13" s="150" t="n"/>
      <c r="AF13" s="150" t="n"/>
      <c r="AG13" s="150" t="n"/>
      <c r="AH13" s="150" t="n"/>
      <c r="AI13" s="150" t="n"/>
      <c r="AJ13" s="150" t="n"/>
      <c r="AK13" s="150" t="n"/>
      <c r="AL13" s="150" t="n"/>
      <c r="AM13" s="149" t="n"/>
      <c r="AN13" s="149" t="n"/>
    </row>
    <row r="14" s="143">
      <c r="A14" s="149" t="inlineStr">
        <is>
          <t>Apport en fonds propres (fondateurs)</t>
        </is>
      </c>
      <c r="B14" s="168">
        <f>Parametres!$D$139</f>
        <v/>
      </c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149" t="n"/>
      <c r="O14" s="149" t="n"/>
      <c r="P14" s="149" t="n"/>
      <c r="Q14" s="149" t="n"/>
      <c r="R14" s="149" t="n"/>
      <c r="S14" s="149" t="n"/>
      <c r="T14" s="149" t="n"/>
      <c r="U14" s="149" t="n"/>
      <c r="V14" s="149" t="n"/>
      <c r="W14" s="149" t="n"/>
      <c r="X14" s="149" t="n"/>
      <c r="Y14" s="149" t="n"/>
      <c r="Z14" s="149" t="n"/>
      <c r="AA14" s="149" t="n"/>
      <c r="AB14" s="149" t="n"/>
      <c r="AC14" s="149" t="n"/>
      <c r="AD14" s="149" t="n"/>
      <c r="AE14" s="149" t="n"/>
      <c r="AF14" s="149" t="n"/>
      <c r="AG14" s="149" t="n"/>
      <c r="AH14" s="149" t="n"/>
      <c r="AI14" s="149" t="n"/>
      <c r="AJ14" s="149" t="n"/>
      <c r="AK14" s="149" t="n"/>
      <c r="AL14" s="149" t="n"/>
      <c r="AM14" s="149" t="n"/>
      <c r="AN14" s="149" t="n"/>
    </row>
    <row r="15" s="143">
      <c r="A15" s="147" t="inlineStr">
        <is>
          <t>Emprunt (mécanique inchangée : besoin non couvert par l'apport, porté en dette dans la trésorerie)</t>
        </is>
      </c>
      <c r="B15" s="205">
        <f>MAX(B11-B14,0)</f>
        <v/>
      </c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149" t="n"/>
      <c r="O15" s="149" t="n"/>
      <c r="P15" s="149" t="n"/>
      <c r="Q15" s="149" t="n"/>
      <c r="R15" s="149" t="n"/>
      <c r="S15" s="149" t="n"/>
      <c r="T15" s="149" t="n"/>
      <c r="U15" s="149" t="n"/>
      <c r="V15" s="149" t="n"/>
      <c r="W15" s="149" t="n"/>
      <c r="X15" s="149" t="n"/>
      <c r="Y15" s="149" t="n"/>
      <c r="Z15" s="149" t="n"/>
      <c r="AA15" s="149" t="n"/>
      <c r="AB15" s="149" t="n"/>
      <c r="AC15" s="149" t="n"/>
      <c r="AD15" s="149" t="n"/>
      <c r="AE15" s="149" t="n"/>
      <c r="AF15" s="149" t="n"/>
      <c r="AG15" s="149" t="n"/>
      <c r="AH15" s="149" t="n"/>
      <c r="AI15" s="149" t="n"/>
      <c r="AJ15" s="149" t="n"/>
      <c r="AK15" s="149" t="n"/>
      <c r="AL15" s="149" t="n"/>
      <c r="AM15" s="149" t="n"/>
      <c r="AN15" s="149" t="n"/>
    </row>
    <row r="16" s="143">
      <c r="A16" s="172" t="inlineStr">
        <is>
          <t>TOTAL RESSOURCES (= besoin)</t>
        </is>
      </c>
      <c r="B16" s="189">
        <f>B14+B15</f>
        <v/>
      </c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  <c r="S16" s="149" t="n"/>
      <c r="T16" s="149" t="n"/>
      <c r="U16" s="149" t="n"/>
      <c r="V16" s="149" t="n"/>
      <c r="W16" s="149" t="n"/>
      <c r="X16" s="149" t="n"/>
      <c r="Y16" s="149" t="n"/>
      <c r="Z16" s="149" t="n"/>
      <c r="AA16" s="149" t="n"/>
      <c r="AB16" s="149" t="n"/>
      <c r="AC16" s="149" t="n"/>
      <c r="AD16" s="149" t="n"/>
      <c r="AE16" s="149" t="n"/>
      <c r="AF16" s="149" t="n"/>
      <c r="AG16" s="149" t="n"/>
      <c r="AH16" s="149" t="n"/>
      <c r="AI16" s="149" t="n"/>
      <c r="AJ16" s="149" t="n"/>
      <c r="AK16" s="149" t="n"/>
      <c r="AL16" s="149" t="n"/>
      <c r="AM16" s="149" t="n"/>
      <c r="AN16" s="149" t="n"/>
    </row>
    <row r="17" s="143">
      <c r="A17" s="149" t="inlineStr">
        <is>
          <t>Part du financement externe dans le total</t>
        </is>
      </c>
      <c r="B17" s="170">
        <f>IF(B16=0,0,B15/B16)</f>
        <v/>
      </c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149" t="n"/>
      <c r="O17" s="149" t="n"/>
      <c r="P17" s="149" t="n"/>
      <c r="Q17" s="149" t="n"/>
      <c r="R17" s="149" t="n"/>
      <c r="S17" s="149" t="n"/>
      <c r="T17" s="149" t="n"/>
      <c r="U17" s="149" t="n"/>
      <c r="V17" s="149" t="n"/>
      <c r="W17" s="149" t="n"/>
      <c r="X17" s="149" t="n"/>
      <c r="Y17" s="149" t="n"/>
      <c r="Z17" s="149" t="n"/>
      <c r="AA17" s="149" t="n"/>
      <c r="AB17" s="149" t="n"/>
      <c r="AC17" s="149" t="n"/>
      <c r="AD17" s="149" t="n"/>
      <c r="AE17" s="149" t="n"/>
      <c r="AF17" s="149" t="n"/>
      <c r="AG17" s="149" t="n"/>
      <c r="AH17" s="149" t="n"/>
      <c r="AI17" s="149" t="n"/>
      <c r="AJ17" s="149" t="n"/>
      <c r="AK17" s="149" t="n"/>
      <c r="AL17" s="149" t="n"/>
      <c r="AM17" s="149" t="n"/>
      <c r="AN17" s="149" t="n"/>
    </row>
    <row r="18" s="143">
      <c r="A18" s="147" t="inlineStr">
        <is>
          <t>ASK — financement externe recherché auprès d'investisseurs / bailleurs (besoin − apport)</t>
        </is>
      </c>
      <c r="B18" s="205">
        <f>B11-B14</f>
        <v/>
      </c>
      <c r="C18" s="217" t="inlineStr">
        <is>
          <t>Montant à présenter aux financeurs. Ventilation indicative ci-dessous ; la trésorerie modélise l'ensemble en emprunt.</t>
        </is>
      </c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149" t="n"/>
      <c r="O18" s="149" t="n"/>
      <c r="P18" s="149" t="n"/>
      <c r="Q18" s="149" t="n"/>
      <c r="R18" s="149" t="n"/>
      <c r="S18" s="149" t="n"/>
      <c r="T18" s="149" t="n"/>
      <c r="U18" s="149" t="n"/>
      <c r="V18" s="149" t="n"/>
      <c r="W18" s="149" t="n"/>
      <c r="X18" s="149" t="n"/>
      <c r="Y18" s="149" t="n"/>
      <c r="Z18" s="149" t="n"/>
      <c r="AA18" s="149" t="n"/>
      <c r="AB18" s="149" t="n"/>
      <c r="AC18" s="149" t="n"/>
      <c r="AD18" s="149" t="n"/>
      <c r="AE18" s="149" t="n"/>
      <c r="AF18" s="149" t="n"/>
      <c r="AG18" s="149" t="n"/>
      <c r="AH18" s="149" t="n"/>
      <c r="AI18" s="149" t="n"/>
      <c r="AJ18" s="149" t="n"/>
      <c r="AK18" s="149" t="n"/>
      <c r="AL18" s="149" t="n"/>
      <c r="AM18" s="149" t="n"/>
      <c r="AN18" s="149" t="n"/>
    </row>
    <row r="19" s="143">
      <c r="A19" s="149" t="inlineStr">
        <is>
          <t xml:space="preserve">   dont visé en equity / quasi-fonds propres (investisseurs) — indicatif</t>
        </is>
      </c>
      <c r="B19" s="168">
        <f>B18*Parametres!$D$145</f>
        <v/>
      </c>
      <c r="C19" s="217" t="inlineStr">
        <is>
          <t>Part paramétrable (Parametres section 16).</t>
        </is>
      </c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149" t="n"/>
      <c r="O19" s="149" t="n"/>
      <c r="P19" s="149" t="n"/>
      <c r="Q19" s="149" t="n"/>
      <c r="R19" s="149" t="n"/>
      <c r="S19" s="149" t="n"/>
      <c r="T19" s="149" t="n"/>
      <c r="U19" s="149" t="n"/>
      <c r="V19" s="149" t="n"/>
      <c r="W19" s="149" t="n"/>
      <c r="X19" s="149" t="n"/>
      <c r="Y19" s="149" t="n"/>
      <c r="Z19" s="149" t="n"/>
      <c r="AA19" s="149" t="n"/>
      <c r="AB19" s="149" t="n"/>
      <c r="AC19" s="149" t="n"/>
      <c r="AD19" s="149" t="n"/>
      <c r="AE19" s="149" t="n"/>
      <c r="AF19" s="149" t="n"/>
      <c r="AG19" s="149" t="n"/>
      <c r="AH19" s="149" t="n"/>
      <c r="AI19" s="149" t="n"/>
      <c r="AJ19" s="149" t="n"/>
      <c r="AK19" s="149" t="n"/>
      <c r="AL19" s="149" t="n"/>
      <c r="AM19" s="149" t="n"/>
      <c r="AN19" s="149" t="n"/>
    </row>
    <row r="20" s="143">
      <c r="A20" s="149" t="inlineStr">
        <is>
          <t xml:space="preserve">   dont visé en dette (banques / bailleurs) — indicatif</t>
        </is>
      </c>
      <c r="B20" s="176">
        <f>B18-B19</f>
        <v/>
      </c>
      <c r="C20" s="149" t="n"/>
      <c r="D20" s="149" t="n"/>
      <c r="E20" s="149" t="n"/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149" t="n"/>
      <c r="O20" s="149" t="n"/>
      <c r="P20" s="149" t="n"/>
      <c r="Q20" s="149" t="n"/>
      <c r="R20" s="149" t="n"/>
      <c r="S20" s="149" t="n"/>
      <c r="T20" s="149" t="n"/>
      <c r="U20" s="149" t="n"/>
      <c r="V20" s="149" t="n"/>
      <c r="W20" s="149" t="n"/>
      <c r="X20" s="149" t="n"/>
      <c r="Y20" s="149" t="n"/>
      <c r="Z20" s="149" t="n"/>
      <c r="AA20" s="149" t="n"/>
      <c r="AB20" s="149" t="n"/>
      <c r="AC20" s="149" t="n"/>
      <c r="AD20" s="149" t="n"/>
      <c r="AE20" s="149" t="n"/>
      <c r="AF20" s="149" t="n"/>
      <c r="AG20" s="149" t="n"/>
      <c r="AH20" s="149" t="n"/>
      <c r="AI20" s="149" t="n"/>
      <c r="AJ20" s="149" t="n"/>
      <c r="AK20" s="149" t="n"/>
      <c r="AL20" s="149" t="n"/>
      <c r="AM20" s="149" t="n"/>
      <c r="AN20" s="149" t="n"/>
    </row>
    <row r="21" s="143">
      <c r="A21" s="149" t="n"/>
      <c r="B21" s="149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149" t="n"/>
      <c r="O21" s="149" t="n"/>
      <c r="P21" s="149" t="n"/>
      <c r="Q21" s="149" t="n"/>
      <c r="R21" s="149" t="n"/>
      <c r="S21" s="149" t="n"/>
      <c r="T21" s="149" t="n"/>
      <c r="U21" s="149" t="n"/>
      <c r="V21" s="149" t="n"/>
      <c r="W21" s="149" t="n"/>
      <c r="X21" s="149" t="n"/>
      <c r="Y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  <c r="AI21" s="149" t="n"/>
      <c r="AJ21" s="149" t="n"/>
      <c r="AK21" s="149" t="n"/>
      <c r="AL21" s="149" t="n"/>
      <c r="AM21" s="149" t="n"/>
      <c r="AN21" s="149" t="n"/>
    </row>
    <row r="22" ht="18" customHeight="1" s="143">
      <c r="A22" s="150" t="inlineStr">
        <is>
          <t>EMPRUNT — CONDITIONS</t>
        </is>
      </c>
      <c r="B22" s="150" t="n"/>
      <c r="C22" s="150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0" t="n"/>
      <c r="M22" s="150" t="n"/>
      <c r="N22" s="150" t="n"/>
      <c r="O22" s="150" t="n"/>
      <c r="P22" s="150" t="n"/>
      <c r="Q22" s="150" t="n"/>
      <c r="R22" s="150" t="n"/>
      <c r="S22" s="150" t="n"/>
      <c r="T22" s="150" t="n"/>
      <c r="U22" s="150" t="n"/>
      <c r="V22" s="150" t="n"/>
      <c r="W22" s="150" t="n"/>
      <c r="X22" s="150" t="n"/>
      <c r="Y22" s="150" t="n"/>
      <c r="Z22" s="150" t="n"/>
      <c r="AA22" s="150" t="n"/>
      <c r="AB22" s="150" t="n"/>
      <c r="AC22" s="150" t="n"/>
      <c r="AD22" s="150" t="n"/>
      <c r="AE22" s="150" t="n"/>
      <c r="AF22" s="150" t="n"/>
      <c r="AG22" s="150" t="n"/>
      <c r="AH22" s="150" t="n"/>
      <c r="AI22" s="150" t="n"/>
      <c r="AJ22" s="150" t="n"/>
      <c r="AK22" s="150" t="n"/>
      <c r="AL22" s="150" t="n"/>
      <c r="AM22" s="149" t="n"/>
      <c r="AN22" s="149" t="n"/>
    </row>
    <row r="23" s="143">
      <c r="A23" s="149" t="inlineStr">
        <is>
          <t>Montant emprunté</t>
        </is>
      </c>
      <c r="B23" s="176">
        <f>B15</f>
        <v/>
      </c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149" t="n"/>
      <c r="O23" s="149" t="n"/>
      <c r="P23" s="149" t="n"/>
      <c r="Q23" s="149" t="n"/>
      <c r="R23" s="149" t="n"/>
      <c r="S23" s="149" t="n"/>
      <c r="T23" s="149" t="n"/>
      <c r="U23" s="149" t="n"/>
      <c r="V23" s="149" t="n"/>
      <c r="W23" s="149" t="n"/>
      <c r="X23" s="149" t="n"/>
      <c r="Y23" s="149" t="n"/>
      <c r="Z23" s="149" t="n"/>
      <c r="AA23" s="149" t="n"/>
      <c r="AB23" s="149" t="n"/>
      <c r="AC23" s="149" t="n"/>
      <c r="AD23" s="149" t="n"/>
      <c r="AE23" s="149" t="n"/>
      <c r="AF23" s="149" t="n"/>
      <c r="AG23" s="149" t="n"/>
      <c r="AH23" s="149" t="n"/>
      <c r="AI23" s="149" t="n"/>
      <c r="AJ23" s="149" t="n"/>
      <c r="AK23" s="149" t="n"/>
      <c r="AL23" s="149" t="n"/>
      <c r="AM23" s="149" t="n"/>
      <c r="AN23" s="149" t="n"/>
    </row>
    <row r="24" s="143">
      <c r="A24" s="149" t="inlineStr">
        <is>
          <t>Taux annuel</t>
        </is>
      </c>
      <c r="B24" s="152">
        <f>Parametres!$D$143</f>
        <v/>
      </c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  <c r="N24" s="149" t="n"/>
      <c r="O24" s="149" t="n"/>
      <c r="P24" s="149" t="n"/>
      <c r="Q24" s="149" t="n"/>
      <c r="R24" s="149" t="n"/>
      <c r="S24" s="149" t="n"/>
      <c r="T24" s="149" t="n"/>
      <c r="U24" s="149" t="n"/>
      <c r="V24" s="149" t="n"/>
      <c r="W24" s="149" t="n"/>
      <c r="X24" s="149" t="n"/>
      <c r="Y24" s="149" t="n"/>
      <c r="Z24" s="149" t="n"/>
      <c r="AA24" s="149" t="n"/>
      <c r="AB24" s="149" t="n"/>
      <c r="AC24" s="149" t="n"/>
      <c r="AD24" s="149" t="n"/>
      <c r="AE24" s="149" t="n"/>
      <c r="AF24" s="149" t="n"/>
      <c r="AG24" s="149" t="n"/>
      <c r="AH24" s="149" t="n"/>
      <c r="AI24" s="149" t="n"/>
      <c r="AJ24" s="149" t="n"/>
      <c r="AK24" s="149" t="n"/>
      <c r="AL24" s="149" t="n"/>
      <c r="AM24" s="149" t="n"/>
      <c r="AN24" s="149" t="n"/>
    </row>
    <row r="25" s="143">
      <c r="A25" s="149" t="inlineStr">
        <is>
          <t>Durée (mois)</t>
        </is>
      </c>
      <c r="B25" s="153">
        <f>Parametres!$D$144</f>
        <v/>
      </c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49" t="n"/>
      <c r="Y25" s="149" t="n"/>
      <c r="Z25" s="149" t="n"/>
      <c r="AA25" s="149" t="n"/>
      <c r="AB25" s="149" t="n"/>
      <c r="AC25" s="149" t="n"/>
      <c r="AD25" s="149" t="n"/>
      <c r="AE25" s="149" t="n"/>
      <c r="AF25" s="149" t="n"/>
      <c r="AG25" s="149" t="n"/>
      <c r="AH25" s="149" t="n"/>
      <c r="AI25" s="149" t="n"/>
      <c r="AJ25" s="149" t="n"/>
      <c r="AK25" s="149" t="n"/>
      <c r="AL25" s="149" t="n"/>
      <c r="AM25" s="149" t="n"/>
      <c r="AN25" s="149" t="n"/>
    </row>
    <row r="26" s="143">
      <c r="A26" s="149" t="inlineStr">
        <is>
          <t>Mensualité constante (annuités)</t>
        </is>
      </c>
      <c r="B26" s="176">
        <f>IF(B23=0,0,-PMT(B24/12,B25,B23))</f>
        <v/>
      </c>
      <c r="C26" s="149" t="n"/>
      <c r="D26" s="149" t="n"/>
      <c r="E26" s="149" t="n"/>
      <c r="F26" s="149" t="n"/>
      <c r="G26" s="149" t="n"/>
      <c r="H26" s="149" t="n"/>
      <c r="I26" s="149" t="n"/>
      <c r="J26" s="149" t="n"/>
      <c r="K26" s="149" t="n"/>
      <c r="L26" s="149" t="n"/>
      <c r="M26" s="149" t="n"/>
      <c r="N26" s="149" t="n"/>
      <c r="O26" s="149" t="n"/>
      <c r="P26" s="149" t="n"/>
      <c r="Q26" s="149" t="n"/>
      <c r="R26" s="149" t="n"/>
      <c r="S26" s="149" t="n"/>
      <c r="T26" s="149" t="n"/>
      <c r="U26" s="149" t="n"/>
      <c r="V26" s="149" t="n"/>
      <c r="W26" s="149" t="n"/>
      <c r="X26" s="149" t="n"/>
      <c r="Y26" s="149" t="n"/>
      <c r="Z26" s="149" t="n"/>
      <c r="AA26" s="149" t="n"/>
      <c r="AB26" s="149" t="n"/>
      <c r="AC26" s="149" t="n"/>
      <c r="AD26" s="149" t="n"/>
      <c r="AE26" s="149" t="n"/>
      <c r="AF26" s="149" t="n"/>
      <c r="AG26" s="149" t="n"/>
      <c r="AH26" s="149" t="n"/>
      <c r="AI26" s="149" t="n"/>
      <c r="AJ26" s="149" t="n"/>
      <c r="AK26" s="149" t="n"/>
      <c r="AL26" s="149" t="n"/>
      <c r="AM26" s="149" t="n"/>
      <c r="AN26" s="149" t="n"/>
    </row>
    <row r="27" s="143">
      <c r="A27" s="149" t="inlineStr">
        <is>
          <t>Coût total des intérêts sur la durée</t>
        </is>
      </c>
      <c r="B27" s="176">
        <f>B32</f>
        <v/>
      </c>
      <c r="C27" s="217" t="inlineStr">
        <is>
          <t>Intérêts → P&amp;L ligne 22 et Trésorerie ligne 9 ; capital → Trésorerie ligne 20 ; dette restante → Bilan ligne 13.</t>
        </is>
      </c>
      <c r="D27" s="149" t="n"/>
      <c r="E27" s="149" t="n"/>
      <c r="F27" s="149" t="n"/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 t="n"/>
      <c r="S27" s="149" t="n"/>
      <c r="T27" s="149" t="n"/>
      <c r="U27" s="149" t="n"/>
      <c r="V27" s="149" t="n"/>
      <c r="W27" s="149" t="n"/>
      <c r="X27" s="149" t="n"/>
      <c r="Y27" s="149" t="n"/>
      <c r="Z27" s="149" t="n"/>
      <c r="AA27" s="149" t="n"/>
      <c r="AB27" s="149" t="n"/>
      <c r="AC27" s="149" t="n"/>
      <c r="AD27" s="149" t="n"/>
      <c r="AE27" s="149" t="n"/>
      <c r="AF27" s="149" t="n"/>
      <c r="AG27" s="149" t="n"/>
      <c r="AH27" s="149" t="n"/>
      <c r="AI27" s="149" t="n"/>
      <c r="AJ27" s="149" t="n"/>
      <c r="AK27" s="149" t="n"/>
      <c r="AL27" s="149" t="n"/>
      <c r="AM27" s="149" t="n"/>
      <c r="AN27" s="149" t="n"/>
    </row>
    <row r="28" s="143">
      <c r="A28" s="149" t="n"/>
      <c r="B28" s="149" t="n"/>
      <c r="C28" s="149" t="n"/>
      <c r="D28" s="149" t="n"/>
      <c r="E28" s="149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  <c r="S28" s="149" t="n"/>
      <c r="T28" s="149" t="n"/>
      <c r="U28" s="149" t="n"/>
      <c r="V28" s="149" t="n"/>
      <c r="W28" s="149" t="n"/>
      <c r="X28" s="149" t="n"/>
      <c r="Y28" s="149" t="n"/>
      <c r="Z28" s="149" t="n"/>
      <c r="AA28" s="149" t="n"/>
      <c r="AB28" s="149" t="n"/>
      <c r="AC28" s="149" t="n"/>
      <c r="AD28" s="149" t="n"/>
      <c r="AE28" s="149" t="n"/>
      <c r="AF28" s="149" t="n"/>
      <c r="AG28" s="149" t="n"/>
      <c r="AH28" s="149" t="n"/>
      <c r="AI28" s="149" t="n"/>
      <c r="AJ28" s="149" t="n"/>
      <c r="AK28" s="149" t="n"/>
      <c r="AL28" s="149" t="n"/>
      <c r="AM28" s="149" t="n"/>
      <c r="AN28" s="149" t="n"/>
    </row>
    <row r="29" ht="18" customHeight="1" s="143">
      <c r="A29" s="150" t="inlineStr">
        <is>
          <t>TABLEAU D'AMORTISSEMENT DE L'EMPRUNT (mensuel)</t>
        </is>
      </c>
      <c r="B29" s="150" t="n"/>
      <c r="C29" s="150" t="n"/>
      <c r="D29" s="150" t="n"/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0" t="n"/>
      <c r="N29" s="150" t="n"/>
      <c r="O29" s="150" t="n"/>
      <c r="P29" s="150" t="n"/>
      <c r="Q29" s="150" t="n"/>
      <c r="R29" s="150" t="n"/>
      <c r="S29" s="150" t="n"/>
      <c r="T29" s="150" t="n"/>
      <c r="U29" s="150" t="n"/>
      <c r="V29" s="150" t="n"/>
      <c r="W29" s="150" t="n"/>
      <c r="X29" s="150" t="n"/>
      <c r="Y29" s="150" t="n"/>
      <c r="Z29" s="150" t="n"/>
      <c r="AA29" s="150" t="n"/>
      <c r="AB29" s="150" t="n"/>
      <c r="AC29" s="150" t="n"/>
      <c r="AD29" s="150" t="n"/>
      <c r="AE29" s="150" t="n"/>
      <c r="AF29" s="150" t="n"/>
      <c r="AG29" s="150" t="n"/>
      <c r="AH29" s="150" t="n"/>
      <c r="AI29" s="150" t="n"/>
      <c r="AJ29" s="150" t="n"/>
      <c r="AK29" s="150" t="n"/>
      <c r="AL29" s="150" t="n"/>
      <c r="AM29" s="149" t="n"/>
      <c r="AN29" s="149" t="n"/>
    </row>
    <row r="30" s="143">
      <c r="A30" s="218" t="inlineStr">
        <is>
          <t>Mois</t>
        </is>
      </c>
      <c r="B30" s="218" t="inlineStr">
        <is>
          <t>TOTAL</t>
        </is>
      </c>
      <c r="C30" s="219" t="n">
        <v>1</v>
      </c>
      <c r="D30" s="219" t="n">
        <v>2</v>
      </c>
      <c r="E30" s="219" t="n">
        <v>3</v>
      </c>
      <c r="F30" s="219" t="n">
        <v>4</v>
      </c>
      <c r="G30" s="219" t="n">
        <v>5</v>
      </c>
      <c r="H30" s="219" t="n">
        <v>6</v>
      </c>
      <c r="I30" s="219" t="n">
        <v>7</v>
      </c>
      <c r="J30" s="219" t="n">
        <v>8</v>
      </c>
      <c r="K30" s="219" t="n">
        <v>9</v>
      </c>
      <c r="L30" s="219" t="n">
        <v>10</v>
      </c>
      <c r="M30" s="219" t="n">
        <v>11</v>
      </c>
      <c r="N30" s="219" t="n">
        <v>12</v>
      </c>
      <c r="O30" s="219" t="n">
        <v>13</v>
      </c>
      <c r="P30" s="219" t="n">
        <v>14</v>
      </c>
      <c r="Q30" s="219" t="n">
        <v>15</v>
      </c>
      <c r="R30" s="219" t="n">
        <v>16</v>
      </c>
      <c r="S30" s="219" t="n">
        <v>17</v>
      </c>
      <c r="T30" s="219" t="n">
        <v>18</v>
      </c>
      <c r="U30" s="219" t="n">
        <v>19</v>
      </c>
      <c r="V30" s="219" t="n">
        <v>20</v>
      </c>
      <c r="W30" s="219" t="n">
        <v>21</v>
      </c>
      <c r="X30" s="219" t="n">
        <v>22</v>
      </c>
      <c r="Y30" s="219" t="n">
        <v>23</v>
      </c>
      <c r="Z30" s="219" t="n">
        <v>24</v>
      </c>
      <c r="AA30" s="219" t="n">
        <v>25</v>
      </c>
      <c r="AB30" s="219" t="n">
        <v>26</v>
      </c>
      <c r="AC30" s="219" t="n">
        <v>27</v>
      </c>
      <c r="AD30" s="219" t="n">
        <v>28</v>
      </c>
      <c r="AE30" s="219" t="n">
        <v>29</v>
      </c>
      <c r="AF30" s="219" t="n">
        <v>30</v>
      </c>
      <c r="AG30" s="219" t="n">
        <v>31</v>
      </c>
      <c r="AH30" s="219" t="n">
        <v>32</v>
      </c>
      <c r="AI30" s="219" t="n">
        <v>33</v>
      </c>
      <c r="AJ30" s="219" t="n">
        <v>34</v>
      </c>
      <c r="AK30" s="219" t="n">
        <v>35</v>
      </c>
      <c r="AL30" s="219" t="n">
        <v>36</v>
      </c>
      <c r="AM30" s="149" t="n"/>
      <c r="AN30" s="149" t="n"/>
    </row>
    <row r="31" s="143">
      <c r="A31" s="147" t="inlineStr">
        <is>
          <t>Mensualité</t>
        </is>
      </c>
      <c r="B31" s="220">
        <f>SUM(C31:AL31)</f>
        <v/>
      </c>
      <c r="C31" s="221">
        <f>IF(C$30&gt;$B$25,0,-PMT($B$24/12,$B$25,$B$23))</f>
        <v/>
      </c>
      <c r="D31" s="221">
        <f>IF(D$30&gt;$B$25,0,-PMT($B$24/12,$B$25,$B$23))</f>
        <v/>
      </c>
      <c r="E31" s="221">
        <f>IF(E$30&gt;$B$25,0,-PMT($B$24/12,$B$25,$B$23))</f>
        <v/>
      </c>
      <c r="F31" s="221">
        <f>IF(F$30&gt;$B$25,0,-PMT($B$24/12,$B$25,$B$23))</f>
        <v/>
      </c>
      <c r="G31" s="221">
        <f>IF(G$30&gt;$B$25,0,-PMT($B$24/12,$B$25,$B$23))</f>
        <v/>
      </c>
      <c r="H31" s="221">
        <f>IF(H$30&gt;$B$25,0,-PMT($B$24/12,$B$25,$B$23))</f>
        <v/>
      </c>
      <c r="I31" s="221">
        <f>IF(I$30&gt;$B$25,0,-PMT($B$24/12,$B$25,$B$23))</f>
        <v/>
      </c>
      <c r="J31" s="221">
        <f>IF(J$30&gt;$B$25,0,-PMT($B$24/12,$B$25,$B$23))</f>
        <v/>
      </c>
      <c r="K31" s="221">
        <f>IF(K$30&gt;$B$25,0,-PMT($B$24/12,$B$25,$B$23))</f>
        <v/>
      </c>
      <c r="L31" s="221">
        <f>IF(L$30&gt;$B$25,0,-PMT($B$24/12,$B$25,$B$23))</f>
        <v/>
      </c>
      <c r="M31" s="221">
        <f>IF(M$30&gt;$B$25,0,-PMT($B$24/12,$B$25,$B$23))</f>
        <v/>
      </c>
      <c r="N31" s="221">
        <f>IF(N$30&gt;$B$25,0,-PMT($B$24/12,$B$25,$B$23))</f>
        <v/>
      </c>
      <c r="O31" s="221">
        <f>IF(O$30&gt;$B$25,0,-PMT($B$24/12,$B$25,$B$23))</f>
        <v/>
      </c>
      <c r="P31" s="221">
        <f>IF(P$30&gt;$B$25,0,-PMT($B$24/12,$B$25,$B$23))</f>
        <v/>
      </c>
      <c r="Q31" s="221">
        <f>IF(Q$30&gt;$B$25,0,-PMT($B$24/12,$B$25,$B$23))</f>
        <v/>
      </c>
      <c r="R31" s="221">
        <f>IF(R$30&gt;$B$25,0,-PMT($B$24/12,$B$25,$B$23))</f>
        <v/>
      </c>
      <c r="S31" s="221">
        <f>IF(S$30&gt;$B$25,0,-PMT($B$24/12,$B$25,$B$23))</f>
        <v/>
      </c>
      <c r="T31" s="221">
        <f>IF(T$30&gt;$B$25,0,-PMT($B$24/12,$B$25,$B$23))</f>
        <v/>
      </c>
      <c r="U31" s="221">
        <f>IF(U$30&gt;$B$25,0,-PMT($B$24/12,$B$25,$B$23))</f>
        <v/>
      </c>
      <c r="V31" s="221">
        <f>IF(V$30&gt;$B$25,0,-PMT($B$24/12,$B$25,$B$23))</f>
        <v/>
      </c>
      <c r="W31" s="221">
        <f>IF(W$30&gt;$B$25,0,-PMT($B$24/12,$B$25,$B$23))</f>
        <v/>
      </c>
      <c r="X31" s="221">
        <f>IF(X$30&gt;$B$25,0,-PMT($B$24/12,$B$25,$B$23))</f>
        <v/>
      </c>
      <c r="Y31" s="221">
        <f>IF(Y$30&gt;$B$25,0,-PMT($B$24/12,$B$25,$B$23))</f>
        <v/>
      </c>
      <c r="Z31" s="221">
        <f>IF(Z$30&gt;$B$25,0,-PMT($B$24/12,$B$25,$B$23))</f>
        <v/>
      </c>
      <c r="AA31" s="221">
        <f>IF(AA$30&gt;$B$25,0,-PMT($B$24/12,$B$25,$B$23))</f>
        <v/>
      </c>
      <c r="AB31" s="221">
        <f>IF(AB$30&gt;$B$25,0,-PMT($B$24/12,$B$25,$B$23))</f>
        <v/>
      </c>
      <c r="AC31" s="221">
        <f>IF(AC$30&gt;$B$25,0,-PMT($B$24/12,$B$25,$B$23))</f>
        <v/>
      </c>
      <c r="AD31" s="221">
        <f>IF(AD$30&gt;$B$25,0,-PMT($B$24/12,$B$25,$B$23))</f>
        <v/>
      </c>
      <c r="AE31" s="221">
        <f>IF(AE$30&gt;$B$25,0,-PMT($B$24/12,$B$25,$B$23))</f>
        <v/>
      </c>
      <c r="AF31" s="221">
        <f>IF(AF$30&gt;$B$25,0,-PMT($B$24/12,$B$25,$B$23))</f>
        <v/>
      </c>
      <c r="AG31" s="221">
        <f>IF(AG$30&gt;$B$25,0,-PMT($B$24/12,$B$25,$B$23))</f>
        <v/>
      </c>
      <c r="AH31" s="221">
        <f>IF(AH$30&gt;$B$25,0,-PMT($B$24/12,$B$25,$B$23))</f>
        <v/>
      </c>
      <c r="AI31" s="221">
        <f>IF(AI$30&gt;$B$25,0,-PMT($B$24/12,$B$25,$B$23))</f>
        <v/>
      </c>
      <c r="AJ31" s="221">
        <f>IF(AJ$30&gt;$B$25,0,-PMT($B$24/12,$B$25,$B$23))</f>
        <v/>
      </c>
      <c r="AK31" s="221">
        <f>IF(AK$30&gt;$B$25,0,-PMT($B$24/12,$B$25,$B$23))</f>
        <v/>
      </c>
      <c r="AL31" s="221">
        <f>IF(AL$30&gt;$B$25,0,-PMT($B$24/12,$B$25,$B$23))</f>
        <v/>
      </c>
      <c r="AM31" s="149" t="n"/>
      <c r="AN31" s="149" t="n"/>
    </row>
    <row r="32" s="143">
      <c r="A32" s="149" t="inlineStr">
        <is>
          <t>Intérêts</t>
        </is>
      </c>
      <c r="B32" s="220">
        <f>SUM(C32:AL32)</f>
        <v/>
      </c>
      <c r="C32" s="221">
        <f>IF(C$30&gt;$B$25,0,-IPMT($B$24/12,C$30,$B$25,$B$23))</f>
        <v/>
      </c>
      <c r="D32" s="221">
        <f>IF(D$30&gt;$B$25,0,-IPMT($B$24/12,D$30,$B$25,$B$23))</f>
        <v/>
      </c>
      <c r="E32" s="221">
        <f>IF(E$30&gt;$B$25,0,-IPMT($B$24/12,E$30,$B$25,$B$23))</f>
        <v/>
      </c>
      <c r="F32" s="221">
        <f>IF(F$30&gt;$B$25,0,-IPMT($B$24/12,F$30,$B$25,$B$23))</f>
        <v/>
      </c>
      <c r="G32" s="221">
        <f>IF(G$30&gt;$B$25,0,-IPMT($B$24/12,G$30,$B$25,$B$23))</f>
        <v/>
      </c>
      <c r="H32" s="221">
        <f>IF(H$30&gt;$B$25,0,-IPMT($B$24/12,H$30,$B$25,$B$23))</f>
        <v/>
      </c>
      <c r="I32" s="221">
        <f>IF(I$30&gt;$B$25,0,-IPMT($B$24/12,I$30,$B$25,$B$23))</f>
        <v/>
      </c>
      <c r="J32" s="221">
        <f>IF(J$30&gt;$B$25,0,-IPMT($B$24/12,J$30,$B$25,$B$23))</f>
        <v/>
      </c>
      <c r="K32" s="221">
        <f>IF(K$30&gt;$B$25,0,-IPMT($B$24/12,K$30,$B$25,$B$23))</f>
        <v/>
      </c>
      <c r="L32" s="221">
        <f>IF(L$30&gt;$B$25,0,-IPMT($B$24/12,L$30,$B$25,$B$23))</f>
        <v/>
      </c>
      <c r="M32" s="221">
        <f>IF(M$30&gt;$B$25,0,-IPMT($B$24/12,M$30,$B$25,$B$23))</f>
        <v/>
      </c>
      <c r="N32" s="221">
        <f>IF(N$30&gt;$B$25,0,-IPMT($B$24/12,N$30,$B$25,$B$23))</f>
        <v/>
      </c>
      <c r="O32" s="221">
        <f>IF(O$30&gt;$B$25,0,-IPMT($B$24/12,O$30,$B$25,$B$23))</f>
        <v/>
      </c>
      <c r="P32" s="221">
        <f>IF(P$30&gt;$B$25,0,-IPMT($B$24/12,P$30,$B$25,$B$23))</f>
        <v/>
      </c>
      <c r="Q32" s="221">
        <f>IF(Q$30&gt;$B$25,0,-IPMT($B$24/12,Q$30,$B$25,$B$23))</f>
        <v/>
      </c>
      <c r="R32" s="221">
        <f>IF(R$30&gt;$B$25,0,-IPMT($B$24/12,R$30,$B$25,$B$23))</f>
        <v/>
      </c>
      <c r="S32" s="221">
        <f>IF(S$30&gt;$B$25,0,-IPMT($B$24/12,S$30,$B$25,$B$23))</f>
        <v/>
      </c>
      <c r="T32" s="221">
        <f>IF(T$30&gt;$B$25,0,-IPMT($B$24/12,T$30,$B$25,$B$23))</f>
        <v/>
      </c>
      <c r="U32" s="221">
        <f>IF(U$30&gt;$B$25,0,-IPMT($B$24/12,U$30,$B$25,$B$23))</f>
        <v/>
      </c>
      <c r="V32" s="221">
        <f>IF(V$30&gt;$B$25,0,-IPMT($B$24/12,V$30,$B$25,$B$23))</f>
        <v/>
      </c>
      <c r="W32" s="221">
        <f>IF(W$30&gt;$B$25,0,-IPMT($B$24/12,W$30,$B$25,$B$23))</f>
        <v/>
      </c>
      <c r="X32" s="221">
        <f>IF(X$30&gt;$B$25,0,-IPMT($B$24/12,X$30,$B$25,$B$23))</f>
        <v/>
      </c>
      <c r="Y32" s="221">
        <f>IF(Y$30&gt;$B$25,0,-IPMT($B$24/12,Y$30,$B$25,$B$23))</f>
        <v/>
      </c>
      <c r="Z32" s="221">
        <f>IF(Z$30&gt;$B$25,0,-IPMT($B$24/12,Z$30,$B$25,$B$23))</f>
        <v/>
      </c>
      <c r="AA32" s="221">
        <f>IF(AA$30&gt;$B$25,0,-IPMT($B$24/12,AA$30,$B$25,$B$23))</f>
        <v/>
      </c>
      <c r="AB32" s="221">
        <f>IF(AB$30&gt;$B$25,0,-IPMT($B$24/12,AB$30,$B$25,$B$23))</f>
        <v/>
      </c>
      <c r="AC32" s="221">
        <f>IF(AC$30&gt;$B$25,0,-IPMT($B$24/12,AC$30,$B$25,$B$23))</f>
        <v/>
      </c>
      <c r="AD32" s="221">
        <f>IF(AD$30&gt;$B$25,0,-IPMT($B$24/12,AD$30,$B$25,$B$23))</f>
        <v/>
      </c>
      <c r="AE32" s="221">
        <f>IF(AE$30&gt;$B$25,0,-IPMT($B$24/12,AE$30,$B$25,$B$23))</f>
        <v/>
      </c>
      <c r="AF32" s="221">
        <f>IF(AF$30&gt;$B$25,0,-IPMT($B$24/12,AF$30,$B$25,$B$23))</f>
        <v/>
      </c>
      <c r="AG32" s="221">
        <f>IF(AG$30&gt;$B$25,0,-IPMT($B$24/12,AG$30,$B$25,$B$23))</f>
        <v/>
      </c>
      <c r="AH32" s="221">
        <f>IF(AH$30&gt;$B$25,0,-IPMT($B$24/12,AH$30,$B$25,$B$23))</f>
        <v/>
      </c>
      <c r="AI32" s="221">
        <f>IF(AI$30&gt;$B$25,0,-IPMT($B$24/12,AI$30,$B$25,$B$23))</f>
        <v/>
      </c>
      <c r="AJ32" s="221">
        <f>IF(AJ$30&gt;$B$25,0,-IPMT($B$24/12,AJ$30,$B$25,$B$23))</f>
        <v/>
      </c>
      <c r="AK32" s="221">
        <f>IF(AK$30&gt;$B$25,0,-IPMT($B$24/12,AK$30,$B$25,$B$23))</f>
        <v/>
      </c>
      <c r="AL32" s="221">
        <f>IF(AL$30&gt;$B$25,0,-IPMT($B$24/12,AL$30,$B$25,$B$23))</f>
        <v/>
      </c>
      <c r="AM32" s="149" t="n"/>
      <c r="AN32" s="149" t="n"/>
    </row>
    <row r="33" s="143">
      <c r="A33" s="149" t="inlineStr">
        <is>
          <t>Capital remboursé</t>
        </is>
      </c>
      <c r="B33" s="220">
        <f>SUM(C33:AL33)</f>
        <v/>
      </c>
      <c r="C33" s="221">
        <f>IF(C$30&gt;$B$25,0,-PPMT($B$24/12,C$30,$B$25,$B$23))</f>
        <v/>
      </c>
      <c r="D33" s="221">
        <f>IF(D$30&gt;$B$25,0,-PPMT($B$24/12,D$30,$B$25,$B$23))</f>
        <v/>
      </c>
      <c r="E33" s="221">
        <f>IF(E$30&gt;$B$25,0,-PPMT($B$24/12,E$30,$B$25,$B$23))</f>
        <v/>
      </c>
      <c r="F33" s="221">
        <f>IF(F$30&gt;$B$25,0,-PPMT($B$24/12,F$30,$B$25,$B$23))</f>
        <v/>
      </c>
      <c r="G33" s="221">
        <f>IF(G$30&gt;$B$25,0,-PPMT($B$24/12,G$30,$B$25,$B$23))</f>
        <v/>
      </c>
      <c r="H33" s="221">
        <f>IF(H$30&gt;$B$25,0,-PPMT($B$24/12,H$30,$B$25,$B$23))</f>
        <v/>
      </c>
      <c r="I33" s="221">
        <f>IF(I$30&gt;$B$25,0,-PPMT($B$24/12,I$30,$B$25,$B$23))</f>
        <v/>
      </c>
      <c r="J33" s="221">
        <f>IF(J$30&gt;$B$25,0,-PPMT($B$24/12,J$30,$B$25,$B$23))</f>
        <v/>
      </c>
      <c r="K33" s="221">
        <f>IF(K$30&gt;$B$25,0,-PPMT($B$24/12,K$30,$B$25,$B$23))</f>
        <v/>
      </c>
      <c r="L33" s="221">
        <f>IF(L$30&gt;$B$25,0,-PPMT($B$24/12,L$30,$B$25,$B$23))</f>
        <v/>
      </c>
      <c r="M33" s="221">
        <f>IF(M$30&gt;$B$25,0,-PPMT($B$24/12,M$30,$B$25,$B$23))</f>
        <v/>
      </c>
      <c r="N33" s="221">
        <f>IF(N$30&gt;$B$25,0,-PPMT($B$24/12,N$30,$B$25,$B$23))</f>
        <v/>
      </c>
      <c r="O33" s="221">
        <f>IF(O$30&gt;$B$25,0,-PPMT($B$24/12,O$30,$B$25,$B$23))</f>
        <v/>
      </c>
      <c r="P33" s="221">
        <f>IF(P$30&gt;$B$25,0,-PPMT($B$24/12,P$30,$B$25,$B$23))</f>
        <v/>
      </c>
      <c r="Q33" s="221">
        <f>IF(Q$30&gt;$B$25,0,-PPMT($B$24/12,Q$30,$B$25,$B$23))</f>
        <v/>
      </c>
      <c r="R33" s="221">
        <f>IF(R$30&gt;$B$25,0,-PPMT($B$24/12,R$30,$B$25,$B$23))</f>
        <v/>
      </c>
      <c r="S33" s="221">
        <f>IF(S$30&gt;$B$25,0,-PPMT($B$24/12,S$30,$B$25,$B$23))</f>
        <v/>
      </c>
      <c r="T33" s="221">
        <f>IF(T$30&gt;$B$25,0,-PPMT($B$24/12,T$30,$B$25,$B$23))</f>
        <v/>
      </c>
      <c r="U33" s="221">
        <f>IF(U$30&gt;$B$25,0,-PPMT($B$24/12,U$30,$B$25,$B$23))</f>
        <v/>
      </c>
      <c r="V33" s="221">
        <f>IF(V$30&gt;$B$25,0,-PPMT($B$24/12,V$30,$B$25,$B$23))</f>
        <v/>
      </c>
      <c r="W33" s="221">
        <f>IF(W$30&gt;$B$25,0,-PPMT($B$24/12,W$30,$B$25,$B$23))</f>
        <v/>
      </c>
      <c r="X33" s="221">
        <f>IF(X$30&gt;$B$25,0,-PPMT($B$24/12,X$30,$B$25,$B$23))</f>
        <v/>
      </c>
      <c r="Y33" s="221">
        <f>IF(Y$30&gt;$B$25,0,-PPMT($B$24/12,Y$30,$B$25,$B$23))</f>
        <v/>
      </c>
      <c r="Z33" s="221">
        <f>IF(Z$30&gt;$B$25,0,-PPMT($B$24/12,Z$30,$B$25,$B$23))</f>
        <v/>
      </c>
      <c r="AA33" s="221">
        <f>IF(AA$30&gt;$B$25,0,-PPMT($B$24/12,AA$30,$B$25,$B$23))</f>
        <v/>
      </c>
      <c r="AB33" s="221">
        <f>IF(AB$30&gt;$B$25,0,-PPMT($B$24/12,AB$30,$B$25,$B$23))</f>
        <v/>
      </c>
      <c r="AC33" s="221">
        <f>IF(AC$30&gt;$B$25,0,-PPMT($B$24/12,AC$30,$B$25,$B$23))</f>
        <v/>
      </c>
      <c r="AD33" s="221">
        <f>IF(AD$30&gt;$B$25,0,-PPMT($B$24/12,AD$30,$B$25,$B$23))</f>
        <v/>
      </c>
      <c r="AE33" s="221">
        <f>IF(AE$30&gt;$B$25,0,-PPMT($B$24/12,AE$30,$B$25,$B$23))</f>
        <v/>
      </c>
      <c r="AF33" s="221">
        <f>IF(AF$30&gt;$B$25,0,-PPMT($B$24/12,AF$30,$B$25,$B$23))</f>
        <v/>
      </c>
      <c r="AG33" s="221">
        <f>IF(AG$30&gt;$B$25,0,-PPMT($B$24/12,AG$30,$B$25,$B$23))</f>
        <v/>
      </c>
      <c r="AH33" s="221">
        <f>IF(AH$30&gt;$B$25,0,-PPMT($B$24/12,AH$30,$B$25,$B$23))</f>
        <v/>
      </c>
      <c r="AI33" s="221">
        <f>IF(AI$30&gt;$B$25,0,-PPMT($B$24/12,AI$30,$B$25,$B$23))</f>
        <v/>
      </c>
      <c r="AJ33" s="221">
        <f>IF(AJ$30&gt;$B$25,0,-PPMT($B$24/12,AJ$30,$B$25,$B$23))</f>
        <v/>
      </c>
      <c r="AK33" s="221">
        <f>IF(AK$30&gt;$B$25,0,-PPMT($B$24/12,AK$30,$B$25,$B$23))</f>
        <v/>
      </c>
      <c r="AL33" s="221">
        <f>IF(AL$30&gt;$B$25,0,-PPMT($B$24/12,AL$30,$B$25,$B$23))</f>
        <v/>
      </c>
      <c r="AM33" s="149" t="n"/>
      <c r="AN33" s="149" t="n"/>
    </row>
    <row r="34" s="143">
      <c r="A34" s="147" t="inlineStr">
        <is>
          <t>Capital restant dû</t>
        </is>
      </c>
      <c r="B34" s="149" t="n"/>
      <c r="C34" s="220">
        <f>$B$23-C33</f>
        <v/>
      </c>
      <c r="D34" s="220">
        <f>C34-D33</f>
        <v/>
      </c>
      <c r="E34" s="220">
        <f>D34-E33</f>
        <v/>
      </c>
      <c r="F34" s="220">
        <f>E34-F33</f>
        <v/>
      </c>
      <c r="G34" s="220">
        <f>F34-G33</f>
        <v/>
      </c>
      <c r="H34" s="220">
        <f>G34-H33</f>
        <v/>
      </c>
      <c r="I34" s="220">
        <f>H34-I33</f>
        <v/>
      </c>
      <c r="J34" s="220">
        <f>I34-J33</f>
        <v/>
      </c>
      <c r="K34" s="220">
        <f>J34-K33</f>
        <v/>
      </c>
      <c r="L34" s="220">
        <f>K34-L33</f>
        <v/>
      </c>
      <c r="M34" s="220">
        <f>L34-M33</f>
        <v/>
      </c>
      <c r="N34" s="220">
        <f>M34-N33</f>
        <v/>
      </c>
      <c r="O34" s="220">
        <f>N34-O33</f>
        <v/>
      </c>
      <c r="P34" s="220">
        <f>O34-P33</f>
        <v/>
      </c>
      <c r="Q34" s="220">
        <f>P34-Q33</f>
        <v/>
      </c>
      <c r="R34" s="220">
        <f>Q34-R33</f>
        <v/>
      </c>
      <c r="S34" s="220">
        <f>R34-S33</f>
        <v/>
      </c>
      <c r="T34" s="220">
        <f>S34-T33</f>
        <v/>
      </c>
      <c r="U34" s="220">
        <f>T34-U33</f>
        <v/>
      </c>
      <c r="V34" s="220">
        <f>U34-V33</f>
        <v/>
      </c>
      <c r="W34" s="220">
        <f>V34-W33</f>
        <v/>
      </c>
      <c r="X34" s="220">
        <f>W34-X33</f>
        <v/>
      </c>
      <c r="Y34" s="220">
        <f>X34-Y33</f>
        <v/>
      </c>
      <c r="Z34" s="220">
        <f>Y34-Z33</f>
        <v/>
      </c>
      <c r="AA34" s="220">
        <f>Z34-AA33</f>
        <v/>
      </c>
      <c r="AB34" s="220">
        <f>AA34-AB33</f>
        <v/>
      </c>
      <c r="AC34" s="220">
        <f>AB34-AC33</f>
        <v/>
      </c>
      <c r="AD34" s="220">
        <f>AC34-AD33</f>
        <v/>
      </c>
      <c r="AE34" s="220">
        <f>AD34-AE33</f>
        <v/>
      </c>
      <c r="AF34" s="220">
        <f>AE34-AF33</f>
        <v/>
      </c>
      <c r="AG34" s="220">
        <f>AF34-AG33</f>
        <v/>
      </c>
      <c r="AH34" s="220">
        <f>AG34-AH33</f>
        <v/>
      </c>
      <c r="AI34" s="220">
        <f>AH34-AI33</f>
        <v/>
      </c>
      <c r="AJ34" s="220">
        <f>AI34-AJ33</f>
        <v/>
      </c>
      <c r="AK34" s="220">
        <f>AJ34-AK33</f>
        <v/>
      </c>
      <c r="AL34" s="220">
        <f>AK34-AL33</f>
        <v/>
      </c>
      <c r="AM34" s="149" t="n"/>
      <c r="AN34" s="149" t="n"/>
    </row>
    <row r="35" s="143">
      <c r="A35" s="149" t="n"/>
      <c r="B35" s="149" t="n"/>
      <c r="C35" s="149" t="n"/>
      <c r="D35" s="149" t="n"/>
      <c r="E35" s="149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149" t="n"/>
      <c r="O35" s="149" t="n"/>
      <c r="P35" s="149" t="n"/>
      <c r="Q35" s="149" t="n"/>
      <c r="R35" s="149" t="n"/>
      <c r="S35" s="149" t="n"/>
      <c r="T35" s="149" t="n"/>
      <c r="U35" s="149" t="n"/>
      <c r="V35" s="149" t="n"/>
      <c r="W35" s="149" t="n"/>
      <c r="X35" s="149" t="n"/>
      <c r="Y35" s="149" t="n"/>
      <c r="Z35" s="149" t="n"/>
      <c r="AA35" s="149" t="n"/>
      <c r="AB35" s="149" t="n"/>
      <c r="AC35" s="149" t="n"/>
      <c r="AD35" s="149" t="n"/>
      <c r="AE35" s="149" t="n"/>
      <c r="AF35" s="149" t="n"/>
      <c r="AG35" s="149" t="n"/>
      <c r="AH35" s="149" t="n"/>
      <c r="AI35" s="149" t="n"/>
      <c r="AJ35" s="149" t="n"/>
      <c r="AK35" s="149" t="n"/>
      <c r="AL35" s="149" t="n"/>
      <c r="AM35" s="149" t="n"/>
      <c r="AN35" s="149" t="n"/>
    </row>
    <row r="36" ht="18" customHeight="1" s="143">
      <c r="A36" s="150" t="inlineStr">
        <is>
          <t>VALIDATION 3 ANS — la trésorerie reste-t-elle au-dessus du matelas de sécurité sur M0–M36 ?</t>
        </is>
      </c>
      <c r="B36" s="150" t="n"/>
      <c r="C36" s="150" t="n"/>
      <c r="D36" s="150" t="n"/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0" t="n"/>
      <c r="Q36" s="150" t="n"/>
      <c r="R36" s="150" t="n"/>
      <c r="S36" s="150" t="n"/>
      <c r="T36" s="150" t="n"/>
      <c r="U36" s="150" t="n"/>
      <c r="V36" s="150" t="n"/>
      <c r="W36" s="150" t="n"/>
      <c r="X36" s="150" t="n"/>
      <c r="Y36" s="150" t="n"/>
      <c r="Z36" s="150" t="n"/>
      <c r="AA36" s="150" t="n"/>
      <c r="AB36" s="150" t="n"/>
      <c r="AC36" s="150" t="n"/>
      <c r="AD36" s="150" t="n"/>
      <c r="AE36" s="150" t="n"/>
      <c r="AF36" s="150" t="n"/>
      <c r="AG36" s="150" t="n"/>
      <c r="AH36" s="150" t="n"/>
      <c r="AI36" s="150" t="n"/>
      <c r="AJ36" s="150" t="n"/>
      <c r="AK36" s="150" t="n"/>
      <c r="AL36" s="150" t="n"/>
      <c r="AM36" s="149" t="n"/>
      <c r="AN36" s="149" t="n"/>
    </row>
    <row r="37" s="143">
      <c r="A37" s="147" t="inlineStr">
        <is>
          <t>Pic de besoin cumulé de trésorerie AVANT financement (flux op. hors intérêts + CAPEX)</t>
        </is>
      </c>
      <c r="B37" s="205">
        <f>-MIN(B48:AL48)</f>
        <v/>
      </c>
      <c r="C37" s="217" t="inlineStr">
        <is>
          <t>Point bas du cumul des flux (ligne 48) : montant à financer pour ne jamais être à zéro, hors coût de la dette.</t>
        </is>
      </c>
      <c r="D37" s="149" t="n"/>
      <c r="E37" s="149" t="n"/>
      <c r="F37" s="149" t="n"/>
      <c r="G37" s="149" t="n"/>
      <c r="H37" s="149" t="n"/>
      <c r="I37" s="149" t="n"/>
      <c r="J37" s="149" t="n"/>
      <c r="K37" s="149" t="n"/>
      <c r="L37" s="149" t="n"/>
      <c r="M37" s="149" t="n"/>
      <c r="N37" s="149" t="n"/>
      <c r="O37" s="149" t="n"/>
      <c r="P37" s="149" t="n"/>
      <c r="Q37" s="149" t="n"/>
      <c r="R37" s="149" t="n"/>
      <c r="S37" s="149" t="n"/>
      <c r="T37" s="149" t="n"/>
      <c r="U37" s="149" t="n"/>
      <c r="V37" s="149" t="n"/>
      <c r="W37" s="149" t="n"/>
      <c r="X37" s="149" t="n"/>
      <c r="Y37" s="149" t="n"/>
      <c r="Z37" s="149" t="n"/>
      <c r="AA37" s="149" t="n"/>
      <c r="AB37" s="149" t="n"/>
      <c r="AC37" s="149" t="n"/>
      <c r="AD37" s="149" t="n"/>
      <c r="AE37" s="149" t="n"/>
      <c r="AF37" s="149" t="n"/>
      <c r="AG37" s="149" t="n"/>
      <c r="AH37" s="149" t="n"/>
      <c r="AI37" s="149" t="n"/>
      <c r="AJ37" s="149" t="n"/>
      <c r="AK37" s="149" t="n"/>
      <c r="AL37" s="149" t="n"/>
      <c r="AM37" s="149" t="n"/>
      <c r="AN37" s="149" t="n"/>
    </row>
    <row r="38" s="143">
      <c r="A38" s="149" t="inlineStr">
        <is>
          <t>Financement minimal pour conserver le matelas de sécurité (pic + sécurité, hors service de la dette)</t>
        </is>
      </c>
      <c r="B38" s="176">
        <f>B37+B10</f>
        <v/>
      </c>
      <c r="C38" s="149" t="n"/>
      <c r="D38" s="149" t="n"/>
      <c r="E38" s="149" t="n"/>
      <c r="F38" s="149" t="n"/>
      <c r="G38" s="149" t="n"/>
      <c r="H38" s="149" t="n"/>
      <c r="I38" s="149" t="n"/>
      <c r="J38" s="149" t="n"/>
      <c r="K38" s="149" t="n"/>
      <c r="L38" s="149" t="n"/>
      <c r="M38" s="149" t="n"/>
      <c r="N38" s="149" t="n"/>
      <c r="O38" s="149" t="n"/>
      <c r="P38" s="149" t="n"/>
      <c r="Q38" s="149" t="n"/>
      <c r="R38" s="149" t="n"/>
      <c r="S38" s="149" t="n"/>
      <c r="T38" s="149" t="n"/>
      <c r="U38" s="149" t="n"/>
      <c r="V38" s="149" t="n"/>
      <c r="W38" s="149" t="n"/>
      <c r="X38" s="149" t="n"/>
      <c r="Y38" s="149" t="n"/>
      <c r="Z38" s="149" t="n"/>
      <c r="AA38" s="149" t="n"/>
      <c r="AB38" s="149" t="n"/>
      <c r="AC38" s="149" t="n"/>
      <c r="AD38" s="149" t="n"/>
      <c r="AE38" s="149" t="n"/>
      <c r="AF38" s="149" t="n"/>
      <c r="AG38" s="149" t="n"/>
      <c r="AH38" s="149" t="n"/>
      <c r="AI38" s="149" t="n"/>
      <c r="AJ38" s="149" t="n"/>
      <c r="AK38" s="149" t="n"/>
      <c r="AL38" s="149" t="n"/>
      <c r="AM38" s="149" t="n"/>
      <c r="AN38" s="149" t="n"/>
    </row>
    <row r="39" s="143">
      <c r="A39" s="147" t="inlineStr">
        <is>
          <t>Trésorerie minimale sur 36 mois APRÈS financement et service de la dette</t>
        </is>
      </c>
      <c r="B39" s="206">
        <f>MIN(Tresorerie!D25:AM25)</f>
        <v/>
      </c>
      <c r="C39" s="149" t="n"/>
      <c r="D39" s="149" t="n"/>
      <c r="E39" s="149" t="n"/>
      <c r="F39" s="149" t="n"/>
      <c r="G39" s="149" t="n"/>
      <c r="H39" s="149" t="n"/>
      <c r="I39" s="149" t="n"/>
      <c r="J39" s="149" t="n"/>
      <c r="K39" s="149" t="n"/>
      <c r="L39" s="149" t="n"/>
      <c r="M39" s="149" t="n"/>
      <c r="N39" s="149" t="n"/>
      <c r="O39" s="149" t="n"/>
      <c r="P39" s="149" t="n"/>
      <c r="Q39" s="149" t="n"/>
      <c r="R39" s="149" t="n"/>
      <c r="S39" s="149" t="n"/>
      <c r="T39" s="149" t="n"/>
      <c r="U39" s="149" t="n"/>
      <c r="V39" s="149" t="n"/>
      <c r="W39" s="149" t="n"/>
      <c r="X39" s="149" t="n"/>
      <c r="Y39" s="149" t="n"/>
      <c r="Z39" s="149" t="n"/>
      <c r="AA39" s="149" t="n"/>
      <c r="AB39" s="149" t="n"/>
      <c r="AC39" s="149" t="n"/>
      <c r="AD39" s="149" t="n"/>
      <c r="AE39" s="149" t="n"/>
      <c r="AF39" s="149" t="n"/>
      <c r="AG39" s="149" t="n"/>
      <c r="AH39" s="149" t="n"/>
      <c r="AI39" s="149" t="n"/>
      <c r="AJ39" s="149" t="n"/>
      <c r="AK39" s="149" t="n"/>
      <c r="AL39" s="149" t="n"/>
      <c r="AM39" s="149" t="n"/>
      <c r="AN39" s="149" t="n"/>
    </row>
    <row r="40" s="143">
      <c r="A40" s="147" t="inlineStr">
        <is>
          <t>Couverture du matelas de sécurité (cible = ligne 10)</t>
        </is>
      </c>
      <c r="B40" s="222">
        <f>IF(B39&gt;=B10,"OK — trésorerie ≥ "&amp;B9&amp;" mois de charges fixes sur toute la période","INSUFFISANT — augmenter apport, mois financés ou durée")</f>
        <v/>
      </c>
      <c r="C40" s="149" t="n"/>
      <c r="D40" s="149" t="n"/>
      <c r="E40" s="149" t="n"/>
      <c r="F40" s="149" t="n"/>
      <c r="G40" s="149" t="n"/>
      <c r="H40" s="149" t="n"/>
      <c r="I40" s="149" t="n"/>
      <c r="J40" s="149" t="n"/>
      <c r="K40" s="149" t="n"/>
      <c r="L40" s="149" t="n"/>
      <c r="M40" s="149" t="n"/>
      <c r="N40" s="149" t="n"/>
      <c r="O40" s="149" t="n"/>
      <c r="P40" s="149" t="n"/>
      <c r="Q40" s="149" t="n"/>
      <c r="R40" s="149" t="n"/>
      <c r="S40" s="149" t="n"/>
      <c r="T40" s="149" t="n"/>
      <c r="U40" s="149" t="n"/>
      <c r="V40" s="149" t="n"/>
      <c r="W40" s="149" t="n"/>
      <c r="X40" s="149" t="n"/>
      <c r="Y40" s="149" t="n"/>
      <c r="Z40" s="149" t="n"/>
      <c r="AA40" s="149" t="n"/>
      <c r="AB40" s="149" t="n"/>
      <c r="AC40" s="149" t="n"/>
      <c r="AD40" s="149" t="n"/>
      <c r="AE40" s="149" t="n"/>
      <c r="AF40" s="149" t="n"/>
      <c r="AG40" s="149" t="n"/>
      <c r="AH40" s="149" t="n"/>
      <c r="AI40" s="149" t="n"/>
      <c r="AJ40" s="149" t="n"/>
      <c r="AK40" s="149" t="n"/>
      <c r="AL40" s="149" t="n"/>
      <c r="AM40" s="149" t="n"/>
      <c r="AN40" s="149" t="n"/>
    </row>
    <row r="41" s="143">
      <c r="A41" s="149" t="inlineStr">
        <is>
          <t>Financement externe minimum indicatif pour atteindre la cible (itération suivante, hors intérêts additionnels)</t>
        </is>
      </c>
      <c r="B41" s="176">
        <f>B15+MAX(0,B10-B39)</f>
        <v/>
      </c>
      <c r="C41" s="149" t="n"/>
      <c r="D41" s="149" t="n"/>
      <c r="E41" s="149" t="n"/>
      <c r="F41" s="149" t="n"/>
      <c r="G41" s="149" t="n"/>
      <c r="H41" s="149" t="n"/>
      <c r="I41" s="149" t="n"/>
      <c r="J41" s="149" t="n"/>
      <c r="K41" s="149" t="n"/>
      <c r="L41" s="149" t="n"/>
      <c r="M41" s="149" t="n"/>
      <c r="N41" s="149" t="n"/>
      <c r="O41" s="149" t="n"/>
      <c r="P41" s="149" t="n"/>
      <c r="Q41" s="149" t="n"/>
      <c r="R41" s="149" t="n"/>
      <c r="S41" s="149" t="n"/>
      <c r="T41" s="149" t="n"/>
      <c r="U41" s="149" t="n"/>
      <c r="V41" s="149" t="n"/>
      <c r="W41" s="149" t="n"/>
      <c r="X41" s="149" t="n"/>
      <c r="Y41" s="149" t="n"/>
      <c r="Z41" s="149" t="n"/>
      <c r="AA41" s="149" t="n"/>
      <c r="AB41" s="149" t="n"/>
      <c r="AC41" s="149" t="n"/>
      <c r="AD41" s="149" t="n"/>
      <c r="AE41" s="149" t="n"/>
      <c r="AF41" s="149" t="n"/>
      <c r="AG41" s="149" t="n"/>
      <c r="AH41" s="149" t="n"/>
      <c r="AI41" s="149" t="n"/>
      <c r="AJ41" s="149" t="n"/>
      <c r="AK41" s="149" t="n"/>
      <c r="AL41" s="149" t="n"/>
      <c r="AM41" s="149" t="n"/>
      <c r="AN41" s="149" t="n"/>
    </row>
    <row r="42" s="143">
      <c r="A42" s="149" t="inlineStr">
        <is>
          <t>Référence V2.3 — apport 36,7 M Ar calé à la main pour un plancher de 1 M</t>
        </is>
      </c>
      <c r="B42" s="168">
        <f>Parametres!$D$146</f>
        <v/>
      </c>
      <c r="C42" s="149" t="n"/>
      <c r="D42" s="149" t="n"/>
      <c r="E42" s="149" t="n"/>
      <c r="F42" s="149" t="n"/>
      <c r="G42" s="149" t="n"/>
      <c r="H42" s="149" t="n"/>
      <c r="I42" s="149" t="n"/>
      <c r="J42" s="149" t="n"/>
      <c r="K42" s="149" t="n"/>
      <c r="L42" s="149" t="n"/>
      <c r="M42" s="149" t="n"/>
      <c r="N42" s="149" t="n"/>
      <c r="O42" s="149" t="n"/>
      <c r="P42" s="149" t="n"/>
      <c r="Q42" s="149" t="n"/>
      <c r="R42" s="149" t="n"/>
      <c r="S42" s="149" t="n"/>
      <c r="T42" s="149" t="n"/>
      <c r="U42" s="149" t="n"/>
      <c r="V42" s="149" t="n"/>
      <c r="W42" s="149" t="n"/>
      <c r="X42" s="149" t="n"/>
      <c r="Y42" s="149" t="n"/>
      <c r="Z42" s="149" t="n"/>
      <c r="AA42" s="149" t="n"/>
      <c r="AB42" s="149" t="n"/>
      <c r="AC42" s="149" t="n"/>
      <c r="AD42" s="149" t="n"/>
      <c r="AE42" s="149" t="n"/>
      <c r="AF42" s="149" t="n"/>
      <c r="AG42" s="149" t="n"/>
      <c r="AH42" s="149" t="n"/>
      <c r="AI42" s="149" t="n"/>
      <c r="AJ42" s="149" t="n"/>
      <c r="AK42" s="149" t="n"/>
      <c r="AL42" s="149" t="n"/>
      <c r="AM42" s="149" t="n"/>
      <c r="AN42" s="149" t="n"/>
    </row>
    <row r="43" s="143">
      <c r="A43" s="149" t="inlineStr">
        <is>
          <t>Écart référence 36,7 M vs financement minimal (positif = référence surdimensionnée)</t>
        </is>
      </c>
      <c r="B43" s="176">
        <f>B42-B38</f>
        <v/>
      </c>
      <c r="C43" s="149" t="n"/>
      <c r="D43" s="149" t="n"/>
      <c r="E43" s="149" t="n"/>
      <c r="F43" s="149" t="n"/>
      <c r="G43" s="149" t="n"/>
      <c r="H43" s="149" t="n"/>
      <c r="I43" s="149" t="n"/>
      <c r="J43" s="149" t="n"/>
      <c r="K43" s="149" t="n"/>
      <c r="L43" s="149" t="n"/>
      <c r="M43" s="149" t="n"/>
      <c r="N43" s="149" t="n"/>
      <c r="O43" s="149" t="n"/>
      <c r="P43" s="149" t="n"/>
      <c r="Q43" s="149" t="n"/>
      <c r="R43" s="149" t="n"/>
      <c r="S43" s="149" t="n"/>
      <c r="T43" s="149" t="n"/>
      <c r="U43" s="149" t="n"/>
      <c r="V43" s="149" t="n"/>
      <c r="W43" s="149" t="n"/>
      <c r="X43" s="149" t="n"/>
      <c r="Y43" s="149" t="n"/>
      <c r="Z43" s="149" t="n"/>
      <c r="AA43" s="149" t="n"/>
      <c r="AB43" s="149" t="n"/>
      <c r="AC43" s="149" t="n"/>
      <c r="AD43" s="149" t="n"/>
      <c r="AE43" s="149" t="n"/>
      <c r="AF43" s="149" t="n"/>
      <c r="AG43" s="149" t="n"/>
      <c r="AH43" s="149" t="n"/>
      <c r="AI43" s="149" t="n"/>
      <c r="AJ43" s="149" t="n"/>
      <c r="AK43" s="149" t="n"/>
      <c r="AL43" s="149" t="n"/>
      <c r="AM43" s="149" t="n"/>
      <c r="AN43" s="149" t="n"/>
    </row>
    <row r="44" s="143">
      <c r="A44" s="147" t="inlineStr">
        <is>
          <t>Capital restant dû à la fin du mois 36 (emprunt plus long que l'horizon du modèle)</t>
        </is>
      </c>
      <c r="B44" s="205">
        <f>AL34</f>
        <v/>
      </c>
      <c r="C44" s="217" t="inlineStr">
        <is>
          <t>Nul si la durée ≤ 36 mois.</t>
        </is>
      </c>
      <c r="D44" s="149" t="n"/>
      <c r="E44" s="149" t="n"/>
      <c r="F44" s="149" t="n"/>
      <c r="G44" s="149" t="n"/>
      <c r="H44" s="149" t="n"/>
      <c r="I44" s="149" t="n"/>
      <c r="J44" s="149" t="n"/>
      <c r="K44" s="149" t="n"/>
      <c r="L44" s="149" t="n"/>
      <c r="M44" s="149" t="n"/>
      <c r="N44" s="149" t="n"/>
      <c r="O44" s="149" t="n"/>
      <c r="P44" s="149" t="n"/>
      <c r="Q44" s="149" t="n"/>
      <c r="R44" s="149" t="n"/>
      <c r="S44" s="149" t="n"/>
      <c r="T44" s="149" t="n"/>
      <c r="U44" s="149" t="n"/>
      <c r="V44" s="149" t="n"/>
      <c r="W44" s="149" t="n"/>
      <c r="X44" s="149" t="n"/>
      <c r="Y44" s="149" t="n"/>
      <c r="Z44" s="149" t="n"/>
      <c r="AA44" s="149" t="n"/>
      <c r="AB44" s="149" t="n"/>
      <c r="AC44" s="149" t="n"/>
      <c r="AD44" s="149" t="n"/>
      <c r="AE44" s="149" t="n"/>
      <c r="AF44" s="149" t="n"/>
      <c r="AG44" s="149" t="n"/>
      <c r="AH44" s="149" t="n"/>
      <c r="AI44" s="149" t="n"/>
      <c r="AJ44" s="149" t="n"/>
      <c r="AK44" s="149" t="n"/>
      <c r="AL44" s="149" t="n"/>
      <c r="AM44" s="149" t="n"/>
      <c r="AN44" s="149" t="n"/>
    </row>
    <row r="45" s="143">
      <c r="A45" s="147" t="inlineStr">
        <is>
          <t>Trésorerie fin M36 nette de la dette restante</t>
        </is>
      </c>
      <c r="B45" s="206">
        <f>Tresorerie!AM25-B44</f>
        <v/>
      </c>
      <c r="C45" s="149" t="n"/>
      <c r="D45" s="149" t="n"/>
      <c r="E45" s="149" t="n"/>
      <c r="F45" s="149" t="n"/>
      <c r="G45" s="149" t="n"/>
      <c r="H45" s="149" t="n"/>
      <c r="I45" s="149" t="n"/>
      <c r="J45" s="149" t="n"/>
      <c r="K45" s="149" t="n"/>
      <c r="L45" s="149" t="n"/>
      <c r="M45" s="149" t="n"/>
      <c r="N45" s="149" t="n"/>
      <c r="O45" s="149" t="n"/>
      <c r="P45" s="149" t="n"/>
      <c r="Q45" s="149" t="n"/>
      <c r="R45" s="149" t="n"/>
      <c r="S45" s="149" t="n"/>
      <c r="T45" s="149" t="n"/>
      <c r="U45" s="149" t="n"/>
      <c r="V45" s="149" t="n"/>
      <c r="W45" s="149" t="n"/>
      <c r="X45" s="149" t="n"/>
      <c r="Y45" s="149" t="n"/>
      <c r="Z45" s="149" t="n"/>
      <c r="AA45" s="149" t="n"/>
      <c r="AB45" s="149" t="n"/>
      <c r="AC45" s="149" t="n"/>
      <c r="AD45" s="149" t="n"/>
      <c r="AE45" s="149" t="n"/>
      <c r="AF45" s="149" t="n"/>
      <c r="AG45" s="149" t="n"/>
      <c r="AH45" s="149" t="n"/>
      <c r="AI45" s="149" t="n"/>
      <c r="AJ45" s="149" t="n"/>
      <c r="AK45" s="149" t="n"/>
      <c r="AL45" s="149" t="n"/>
      <c r="AM45" s="149" t="n"/>
      <c r="AN45" s="149" t="n"/>
    </row>
    <row r="46" s="143">
      <c r="A46" s="149" t="n"/>
      <c r="B46" s="149" t="n"/>
      <c r="C46" s="149" t="n"/>
      <c r="D46" s="149" t="n"/>
      <c r="E46" s="149" t="n"/>
      <c r="F46" s="149" t="n"/>
      <c r="G46" s="149" t="n"/>
      <c r="H46" s="149" t="n"/>
      <c r="I46" s="149" t="n"/>
      <c r="J46" s="149" t="n"/>
      <c r="K46" s="149" t="n"/>
      <c r="L46" s="149" t="n"/>
      <c r="M46" s="149" t="n"/>
      <c r="N46" s="149" t="n"/>
      <c r="O46" s="149" t="n"/>
      <c r="P46" s="149" t="n"/>
      <c r="Q46" s="149" t="n"/>
      <c r="R46" s="149" t="n"/>
      <c r="S46" s="149" t="n"/>
      <c r="T46" s="149" t="n"/>
      <c r="U46" s="149" t="n"/>
      <c r="V46" s="149" t="n"/>
      <c r="W46" s="149" t="n"/>
      <c r="X46" s="149" t="n"/>
      <c r="Y46" s="149" t="n"/>
      <c r="Z46" s="149" t="n"/>
      <c r="AA46" s="149" t="n"/>
      <c r="AB46" s="149" t="n"/>
      <c r="AC46" s="149" t="n"/>
      <c r="AD46" s="149" t="n"/>
      <c r="AE46" s="149" t="n"/>
      <c r="AF46" s="149" t="n"/>
      <c r="AG46" s="149" t="n"/>
      <c r="AH46" s="149" t="n"/>
      <c r="AI46" s="149" t="n"/>
      <c r="AJ46" s="149" t="n"/>
      <c r="AK46" s="149" t="n"/>
      <c r="AL46" s="149" t="n"/>
      <c r="AM46" s="149" t="n"/>
      <c r="AN46" s="149" t="n"/>
    </row>
    <row r="47" s="143">
      <c r="A47" s="149" t="n"/>
      <c r="B47" s="149" t="n"/>
      <c r="C47" s="149" t="n"/>
      <c r="D47" s="149" t="n"/>
      <c r="E47" s="149" t="n"/>
      <c r="F47" s="149" t="n"/>
      <c r="G47" s="149" t="n"/>
      <c r="H47" s="149" t="n"/>
      <c r="I47" s="149" t="n"/>
      <c r="J47" s="149" t="n"/>
      <c r="K47" s="149" t="n"/>
      <c r="L47" s="149" t="n"/>
      <c r="M47" s="149" t="n"/>
      <c r="N47" s="149" t="n"/>
      <c r="O47" s="149" t="n"/>
      <c r="P47" s="149" t="n"/>
      <c r="Q47" s="149" t="n"/>
      <c r="R47" s="149" t="n"/>
      <c r="S47" s="149" t="n"/>
      <c r="T47" s="149" t="n"/>
      <c r="U47" s="149" t="n"/>
      <c r="V47" s="149" t="n"/>
      <c r="W47" s="149" t="n"/>
      <c r="X47" s="149" t="n"/>
      <c r="Y47" s="149" t="n"/>
      <c r="Z47" s="149" t="n"/>
      <c r="AA47" s="149" t="n"/>
      <c r="AB47" s="149" t="n"/>
      <c r="AC47" s="149" t="n"/>
      <c r="AD47" s="149" t="n"/>
      <c r="AE47" s="149" t="n"/>
      <c r="AF47" s="149" t="n"/>
      <c r="AG47" s="149" t="n"/>
      <c r="AH47" s="149" t="n"/>
      <c r="AI47" s="149" t="n"/>
      <c r="AJ47" s="149" t="n"/>
      <c r="AK47" s="149" t="n"/>
      <c r="AL47" s="149" t="n"/>
      <c r="AM47" s="149" t="n"/>
      <c r="AN47" s="149" t="n"/>
    </row>
    <row r="48" s="143">
      <c r="A48" s="193" t="inlineStr">
        <is>
          <t>Cumul flux opérationnels (hors intérêts) + CAPEX, avant financement — M0 (col. B) → M36 (col. AL)</t>
        </is>
      </c>
      <c r="B48" s="223">
        <f>(SUM(Tresorerie!C6:C8)+Tresorerie!C10+Tresorerie!C15)</f>
        <v/>
      </c>
      <c r="C48" s="223">
        <f>B48+(SUM(Tresorerie!D6:D8)+Tresorerie!D10+Tresorerie!D15)</f>
        <v/>
      </c>
      <c r="D48" s="223">
        <f>C48+(SUM(Tresorerie!E6:E8)+Tresorerie!E10+Tresorerie!E15)</f>
        <v/>
      </c>
      <c r="E48" s="223">
        <f>D48+(SUM(Tresorerie!F6:F8)+Tresorerie!F10+Tresorerie!F15)</f>
        <v/>
      </c>
      <c r="F48" s="223">
        <f>E48+(SUM(Tresorerie!G6:G8)+Tresorerie!G10+Tresorerie!G15)</f>
        <v/>
      </c>
      <c r="G48" s="223">
        <f>F48+(SUM(Tresorerie!H6:H8)+Tresorerie!H10+Tresorerie!H15)</f>
        <v/>
      </c>
      <c r="H48" s="223">
        <f>G48+(SUM(Tresorerie!I6:I8)+Tresorerie!I10+Tresorerie!I15)</f>
        <v/>
      </c>
      <c r="I48" s="223">
        <f>H48+(SUM(Tresorerie!J6:J8)+Tresorerie!J10+Tresorerie!J15)</f>
        <v/>
      </c>
      <c r="J48" s="223">
        <f>I48+(SUM(Tresorerie!K6:K8)+Tresorerie!K10+Tresorerie!K15)</f>
        <v/>
      </c>
      <c r="K48" s="223">
        <f>J48+(SUM(Tresorerie!L6:L8)+Tresorerie!L10+Tresorerie!L15)</f>
        <v/>
      </c>
      <c r="L48" s="223">
        <f>K48+(SUM(Tresorerie!M6:M8)+Tresorerie!M10+Tresorerie!M15)</f>
        <v/>
      </c>
      <c r="M48" s="223">
        <f>L48+(SUM(Tresorerie!N6:N8)+Tresorerie!N10+Tresorerie!N15)</f>
        <v/>
      </c>
      <c r="N48" s="223">
        <f>M48+(SUM(Tresorerie!O6:O8)+Tresorerie!O10+Tresorerie!O15)</f>
        <v/>
      </c>
      <c r="O48" s="223">
        <f>N48+(SUM(Tresorerie!P6:P8)+Tresorerie!P10+Tresorerie!P15)</f>
        <v/>
      </c>
      <c r="P48" s="223">
        <f>O48+(SUM(Tresorerie!Q6:Q8)+Tresorerie!Q10+Tresorerie!Q15)</f>
        <v/>
      </c>
      <c r="Q48" s="223">
        <f>P48+(SUM(Tresorerie!R6:R8)+Tresorerie!R10+Tresorerie!R15)</f>
        <v/>
      </c>
      <c r="R48" s="223">
        <f>Q48+(SUM(Tresorerie!S6:S8)+Tresorerie!S10+Tresorerie!S15)</f>
        <v/>
      </c>
      <c r="S48" s="223">
        <f>R48+(SUM(Tresorerie!T6:T8)+Tresorerie!T10+Tresorerie!T15)</f>
        <v/>
      </c>
      <c r="T48" s="223">
        <f>S48+(SUM(Tresorerie!U6:U8)+Tresorerie!U10+Tresorerie!U15)</f>
        <v/>
      </c>
      <c r="U48" s="223">
        <f>T48+(SUM(Tresorerie!V6:V8)+Tresorerie!V10+Tresorerie!V15)</f>
        <v/>
      </c>
      <c r="V48" s="223">
        <f>U48+(SUM(Tresorerie!W6:W8)+Tresorerie!W10+Tresorerie!W15)</f>
        <v/>
      </c>
      <c r="W48" s="223">
        <f>V48+(SUM(Tresorerie!X6:X8)+Tresorerie!X10+Tresorerie!X15)</f>
        <v/>
      </c>
      <c r="X48" s="223">
        <f>W48+(SUM(Tresorerie!Y6:Y8)+Tresorerie!Y10+Tresorerie!Y15)</f>
        <v/>
      </c>
      <c r="Y48" s="223">
        <f>X48+(SUM(Tresorerie!Z6:Z8)+Tresorerie!Z10+Tresorerie!Z15)</f>
        <v/>
      </c>
      <c r="Z48" s="223">
        <f>Y48+(SUM(Tresorerie!AA6:AA8)+Tresorerie!AA10+Tresorerie!AA15)</f>
        <v/>
      </c>
      <c r="AA48" s="223">
        <f>Z48+(SUM(Tresorerie!AB6:AB8)+Tresorerie!AB10+Tresorerie!AB15)</f>
        <v/>
      </c>
      <c r="AB48" s="223">
        <f>AA48+(SUM(Tresorerie!AC6:AC8)+Tresorerie!AC10+Tresorerie!AC15)</f>
        <v/>
      </c>
      <c r="AC48" s="223">
        <f>AB48+(SUM(Tresorerie!AD6:AD8)+Tresorerie!AD10+Tresorerie!AD15)</f>
        <v/>
      </c>
      <c r="AD48" s="223">
        <f>AC48+(SUM(Tresorerie!AE6:AE8)+Tresorerie!AE10+Tresorerie!AE15)</f>
        <v/>
      </c>
      <c r="AE48" s="223">
        <f>AD48+(SUM(Tresorerie!AF6:AF8)+Tresorerie!AF10+Tresorerie!AF15)</f>
        <v/>
      </c>
      <c r="AF48" s="223">
        <f>AE48+(SUM(Tresorerie!AG6:AG8)+Tresorerie!AG10+Tresorerie!AG15)</f>
        <v/>
      </c>
      <c r="AG48" s="223">
        <f>AF48+(SUM(Tresorerie!AH6:AH8)+Tresorerie!AH10+Tresorerie!AH15)</f>
        <v/>
      </c>
      <c r="AH48" s="223">
        <f>AG48+(SUM(Tresorerie!AI6:AI8)+Tresorerie!AI10+Tresorerie!AI15)</f>
        <v/>
      </c>
      <c r="AI48" s="223">
        <f>AH48+(SUM(Tresorerie!AJ6:AJ8)+Tresorerie!AJ10+Tresorerie!AJ15)</f>
        <v/>
      </c>
      <c r="AJ48" s="223">
        <f>AI48+(SUM(Tresorerie!AK6:AK8)+Tresorerie!AK10+Tresorerie!AK15)</f>
        <v/>
      </c>
      <c r="AK48" s="223">
        <f>AJ48+(SUM(Tresorerie!AL6:AL8)+Tresorerie!AL10+Tresorerie!AL15)</f>
        <v/>
      </c>
      <c r="AL48" s="223">
        <f>AK48+(SUM(Tresorerie!AM6:AM8)+Tresorerie!AM10+Tresorerie!AM15)</f>
        <v/>
      </c>
      <c r="AM48" s="149" t="n"/>
      <c r="AN48" s="149" t="n"/>
    </row>
    <row r="49" s="143">
      <c r="A49" s="149" t="n"/>
      <c r="B49" s="149" t="n"/>
      <c r="C49" s="149" t="n"/>
      <c r="D49" s="149" t="n"/>
      <c r="E49" s="149" t="n"/>
      <c r="F49" s="149" t="n"/>
      <c r="G49" s="149" t="n"/>
      <c r="H49" s="149" t="n"/>
      <c r="I49" s="149" t="n"/>
      <c r="J49" s="149" t="n"/>
      <c r="K49" s="149" t="n"/>
      <c r="L49" s="149" t="n"/>
      <c r="M49" s="149" t="n"/>
      <c r="N49" s="149" t="n"/>
      <c r="O49" s="149" t="n"/>
      <c r="P49" s="149" t="n"/>
      <c r="Q49" s="149" t="n"/>
      <c r="R49" s="149" t="n"/>
      <c r="S49" s="149" t="n"/>
      <c r="T49" s="149" t="n"/>
      <c r="U49" s="149" t="n"/>
      <c r="V49" s="149" t="n"/>
      <c r="W49" s="149" t="n"/>
      <c r="X49" s="149" t="n"/>
      <c r="Y49" s="149" t="n"/>
      <c r="Z49" s="149" t="n"/>
      <c r="AA49" s="149" t="n"/>
      <c r="AB49" s="149" t="n"/>
      <c r="AC49" s="149" t="n"/>
      <c r="AD49" s="149" t="n"/>
      <c r="AE49" s="149" t="n"/>
      <c r="AF49" s="149" t="n"/>
      <c r="AG49" s="149" t="n"/>
      <c r="AH49" s="149" t="n"/>
      <c r="AI49" s="149" t="n"/>
      <c r="AJ49" s="149" t="n"/>
      <c r="AK49" s="149" t="n"/>
      <c r="AL49" s="149" t="n"/>
      <c r="AM49" s="149" t="n"/>
      <c r="AN49" s="149" t="n"/>
    </row>
    <row r="50" s="143">
      <c r="A50" s="149" t="n"/>
      <c r="B50" s="149" t="n"/>
      <c r="C50" s="149" t="n"/>
      <c r="D50" s="149" t="n"/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149" t="n"/>
      <c r="O50" s="149" t="n"/>
      <c r="P50" s="149" t="n"/>
      <c r="Q50" s="149" t="n"/>
      <c r="R50" s="149" t="n"/>
      <c r="S50" s="149" t="n"/>
      <c r="T50" s="149" t="n"/>
      <c r="U50" s="149" t="n"/>
      <c r="V50" s="149" t="n"/>
      <c r="W50" s="149" t="n"/>
      <c r="X50" s="149" t="n"/>
      <c r="Y50" s="149" t="n"/>
      <c r="Z50" s="149" t="n"/>
      <c r="AA50" s="149" t="n"/>
      <c r="AB50" s="149" t="n"/>
      <c r="AC50" s="149" t="n"/>
      <c r="AD50" s="149" t="n"/>
      <c r="AE50" s="149" t="n"/>
      <c r="AF50" s="149" t="n"/>
      <c r="AG50" s="149" t="n"/>
      <c r="AH50" s="149" t="n"/>
      <c r="AI50" s="149" t="n"/>
      <c r="AJ50" s="149" t="n"/>
      <c r="AK50" s="149" t="n"/>
      <c r="AL50" s="149" t="n"/>
      <c r="AM50" s="149" t="n"/>
      <c r="AN50" s="149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30"/>
  <sheetViews>
    <sheetView showGridLines="0" zoomScaleNormal="100" workbookViewId="0">
      <pane xSplit="2" ySplit="3" topLeftCell="C4" activePane="bottomRight" state="frozen"/>
      <selection pane="topRight" activeCell="A1" sqref="A1"/>
      <selection pane="bottomLeft" activeCell="A4" sqref="A4"/>
      <selection pane="bottomRight" activeCell="D19" sqref="D19"/>
    </sheetView>
  </sheetViews>
  <sheetFormatPr baseColWidth="10" defaultColWidth="8.83203125" defaultRowHeight="15"/>
  <cols>
    <col width="46" customWidth="1" style="143" min="1" max="1"/>
    <col width="4" customWidth="1" style="143" min="2" max="2"/>
    <col width="12" customWidth="1" style="143" min="3" max="39"/>
  </cols>
  <sheetData>
    <row r="1" ht="22" customHeight="1" s="143">
      <c r="A1" s="6" t="inlineStr">
        <is>
          <t>FLUX DE TRÉSORERIE (IAS 7, méthode directe) — M0 (setup) + M1–M36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</row>
    <row r="2" ht="15" customHeight="1" s="143">
      <c r="A2" s="68" t="inlineStr">
        <is>
          <t>Année</t>
        </is>
      </c>
      <c r="B2" s="68" t="n"/>
      <c r="C2" s="68" t="n"/>
      <c r="D2" s="71">
        <f>'P&amp;L'!B2</f>
        <v/>
      </c>
      <c r="E2" s="71">
        <f>'P&amp;L'!C2</f>
        <v/>
      </c>
      <c r="F2" s="71">
        <f>'P&amp;L'!D2</f>
        <v/>
      </c>
      <c r="G2" s="71">
        <f>'P&amp;L'!E2</f>
        <v/>
      </c>
      <c r="H2" s="71">
        <f>'P&amp;L'!F2</f>
        <v/>
      </c>
      <c r="I2" s="71">
        <f>'P&amp;L'!G2</f>
        <v/>
      </c>
      <c r="J2" s="71">
        <f>'P&amp;L'!H2</f>
        <v/>
      </c>
      <c r="K2" s="71">
        <f>'P&amp;L'!I2</f>
        <v/>
      </c>
      <c r="L2" s="71">
        <f>'P&amp;L'!J2</f>
        <v/>
      </c>
      <c r="M2" s="71">
        <f>'P&amp;L'!K2</f>
        <v/>
      </c>
      <c r="N2" s="71">
        <f>'P&amp;L'!L2</f>
        <v/>
      </c>
      <c r="O2" s="71">
        <f>'P&amp;L'!M2</f>
        <v/>
      </c>
      <c r="P2" s="71">
        <f>'P&amp;L'!N2</f>
        <v/>
      </c>
      <c r="Q2" s="71">
        <f>'P&amp;L'!O2</f>
        <v/>
      </c>
      <c r="R2" s="71">
        <f>'P&amp;L'!P2</f>
        <v/>
      </c>
      <c r="S2" s="71">
        <f>'P&amp;L'!Q2</f>
        <v/>
      </c>
      <c r="T2" s="71">
        <f>'P&amp;L'!R2</f>
        <v/>
      </c>
      <c r="U2" s="71">
        <f>'P&amp;L'!S2</f>
        <v/>
      </c>
      <c r="V2" s="71">
        <f>'P&amp;L'!T2</f>
        <v/>
      </c>
      <c r="W2" s="71">
        <f>'P&amp;L'!U2</f>
        <v/>
      </c>
      <c r="X2" s="71">
        <f>'P&amp;L'!V2</f>
        <v/>
      </c>
      <c r="Y2" s="71">
        <f>'P&amp;L'!W2</f>
        <v/>
      </c>
      <c r="Z2" s="71">
        <f>'P&amp;L'!X2</f>
        <v/>
      </c>
      <c r="AA2" s="71">
        <f>'P&amp;L'!Y2</f>
        <v/>
      </c>
      <c r="AB2" s="71">
        <f>'P&amp;L'!Z2</f>
        <v/>
      </c>
      <c r="AC2" s="71">
        <f>'P&amp;L'!AA2</f>
        <v/>
      </c>
      <c r="AD2" s="71">
        <f>'P&amp;L'!AB2</f>
        <v/>
      </c>
      <c r="AE2" s="71">
        <f>'P&amp;L'!AC2</f>
        <v/>
      </c>
      <c r="AF2" s="71">
        <f>'P&amp;L'!AD2</f>
        <v/>
      </c>
      <c r="AG2" s="71">
        <f>'P&amp;L'!AE2</f>
        <v/>
      </c>
      <c r="AH2" s="71">
        <f>'P&amp;L'!AF2</f>
        <v/>
      </c>
      <c r="AI2" s="71">
        <f>'P&amp;L'!AG2</f>
        <v/>
      </c>
      <c r="AJ2" s="71">
        <f>'P&amp;L'!AH2</f>
        <v/>
      </c>
      <c r="AK2" s="71">
        <f>'P&amp;L'!AI2</f>
        <v/>
      </c>
      <c r="AL2" s="71">
        <f>'P&amp;L'!AJ2</f>
        <v/>
      </c>
      <c r="AM2" s="71">
        <f>'P&amp;L'!AK2</f>
        <v/>
      </c>
    </row>
    <row r="3" ht="15" customHeight="1" s="143">
      <c r="A3" s="68" t="inlineStr">
        <is>
          <t>Mois</t>
        </is>
      </c>
      <c r="B3" s="68" t="n"/>
      <c r="C3" s="68" t="n">
        <v>0</v>
      </c>
      <c r="D3" s="68" t="n">
        <v>1</v>
      </c>
      <c r="E3" s="68" t="n">
        <v>2</v>
      </c>
      <c r="F3" s="68" t="n">
        <v>3</v>
      </c>
      <c r="G3" s="68" t="n">
        <v>4</v>
      </c>
      <c r="H3" s="68" t="n">
        <v>5</v>
      </c>
      <c r="I3" s="68" t="n">
        <v>6</v>
      </c>
      <c r="J3" s="68" t="n">
        <v>7</v>
      </c>
      <c r="K3" s="68" t="n">
        <v>8</v>
      </c>
      <c r="L3" s="68" t="n">
        <v>9</v>
      </c>
      <c r="M3" s="68" t="n">
        <v>10</v>
      </c>
      <c r="N3" s="68" t="n">
        <v>11</v>
      </c>
      <c r="O3" s="68" t="n">
        <v>12</v>
      </c>
      <c r="P3" s="68" t="n">
        <v>13</v>
      </c>
      <c r="Q3" s="68" t="n">
        <v>14</v>
      </c>
      <c r="R3" s="68" t="n">
        <v>15</v>
      </c>
      <c r="S3" s="68" t="n">
        <v>16</v>
      </c>
      <c r="T3" s="68" t="n">
        <v>17</v>
      </c>
      <c r="U3" s="68" t="n">
        <v>18</v>
      </c>
      <c r="V3" s="68" t="n">
        <v>19</v>
      </c>
      <c r="W3" s="68" t="n">
        <v>20</v>
      </c>
      <c r="X3" s="68" t="n">
        <v>21</v>
      </c>
      <c r="Y3" s="68" t="n">
        <v>22</v>
      </c>
      <c r="Z3" s="68" t="n">
        <v>23</v>
      </c>
      <c r="AA3" s="68" t="n">
        <v>24</v>
      </c>
      <c r="AB3" s="68" t="n">
        <v>25</v>
      </c>
      <c r="AC3" s="68" t="n">
        <v>26</v>
      </c>
      <c r="AD3" s="68" t="n">
        <v>27</v>
      </c>
      <c r="AE3" s="68" t="n">
        <v>28</v>
      </c>
      <c r="AF3" s="68" t="n">
        <v>29</v>
      </c>
      <c r="AG3" s="68" t="n">
        <v>30</v>
      </c>
      <c r="AH3" s="68" t="n">
        <v>31</v>
      </c>
      <c r="AI3" s="68" t="n">
        <v>32</v>
      </c>
      <c r="AJ3" s="68" t="n">
        <v>33</v>
      </c>
      <c r="AK3" s="68" t="n">
        <v>34</v>
      </c>
      <c r="AL3" s="68" t="n">
        <v>35</v>
      </c>
      <c r="AM3" s="68" t="n">
        <v>36</v>
      </c>
    </row>
    <row r="5" ht="15" customHeight="1" s="143">
      <c r="A5" s="8" t="inlineStr">
        <is>
          <t>FLUX DE TRÉSORERIE OPÉRATIONNELS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</row>
    <row r="6" ht="15" customHeight="1" s="143">
      <c r="A6" s="11" t="inlineStr">
        <is>
          <t>Encaissements clients (CA)</t>
        </is>
      </c>
      <c r="D6" s="215">
        <f>IF(Parametres!$B$158=1,IF(D$3-Parametres!$B$165&gt;=1,INDEX('P&amp;L'!$B$5:$AK$5,1,D$3-Parametres!$B$165),0)*(1-Parametres!$B$163),'P&amp;L'!B5)</f>
        <v/>
      </c>
      <c r="E6" s="215">
        <f>IF(Parametres!$B$158=1,IF(E$3-Parametres!$B$165&gt;=1,INDEX('P&amp;L'!$B$5:$AK$5,1,E$3-Parametres!$B$165),0)*(1-Parametres!$B$163),'P&amp;L'!C5)</f>
        <v/>
      </c>
      <c r="F6" s="215">
        <f>IF(Parametres!$B$158=1,IF(F$3-Parametres!$B$165&gt;=1,INDEX('P&amp;L'!$B$5:$AK$5,1,F$3-Parametres!$B$165),0)*(1-Parametres!$B$163),'P&amp;L'!D5)</f>
        <v/>
      </c>
      <c r="G6" s="215">
        <f>IF(Parametres!$B$158=1,IF(G$3-Parametres!$B$165&gt;=1,INDEX('P&amp;L'!$B$5:$AK$5,1,G$3-Parametres!$B$165),0)*(1-Parametres!$B$163),'P&amp;L'!E5)</f>
        <v/>
      </c>
      <c r="H6" s="215">
        <f>IF(Parametres!$B$158=1,IF(H$3-Parametres!$B$165&gt;=1,INDEX('P&amp;L'!$B$5:$AK$5,1,H$3-Parametres!$B$165),0)*(1-Parametres!$B$163),'P&amp;L'!F5)</f>
        <v/>
      </c>
      <c r="I6" s="215">
        <f>IF(Parametres!$B$158=1,IF(I$3-Parametres!$B$165&gt;=1,INDEX('P&amp;L'!$B$5:$AK$5,1,I$3-Parametres!$B$165),0)*(1-Parametres!$B$163),'P&amp;L'!G5)</f>
        <v/>
      </c>
      <c r="J6" s="215">
        <f>IF(Parametres!$B$158=1,IF(J$3-Parametres!$B$165&gt;=1,INDEX('P&amp;L'!$B$5:$AK$5,1,J$3-Parametres!$B$165),0)*(1-Parametres!$B$163),'P&amp;L'!H5)</f>
        <v/>
      </c>
      <c r="K6" s="215">
        <f>IF(Parametres!$B$158=1,IF(K$3-Parametres!$B$165&gt;=1,INDEX('P&amp;L'!$B$5:$AK$5,1,K$3-Parametres!$B$165),0)*(1-Parametres!$B$163),'P&amp;L'!I5)</f>
        <v/>
      </c>
      <c r="L6" s="215">
        <f>IF(Parametres!$B$158=1,IF(L$3-Parametres!$B$165&gt;=1,INDEX('P&amp;L'!$B$5:$AK$5,1,L$3-Parametres!$B$165),0)*(1-Parametres!$B$163),'P&amp;L'!J5)</f>
        <v/>
      </c>
      <c r="M6" s="215">
        <f>IF(Parametres!$B$158=1,IF(M$3-Parametres!$B$165&gt;=1,INDEX('P&amp;L'!$B$5:$AK$5,1,M$3-Parametres!$B$165),0)*(1-Parametres!$B$163),'P&amp;L'!K5)</f>
        <v/>
      </c>
      <c r="N6" s="215">
        <f>IF(Parametres!$B$158=1,IF(N$3-Parametres!$B$165&gt;=1,INDEX('P&amp;L'!$B$5:$AK$5,1,N$3-Parametres!$B$165),0)*(1-Parametres!$B$163),'P&amp;L'!L5)</f>
        <v/>
      </c>
      <c r="O6" s="215">
        <f>IF(Parametres!$B$158=1,IF(O$3-Parametres!$B$165&gt;=1,INDEX('P&amp;L'!$B$5:$AK$5,1,O$3-Parametres!$B$165),0)*(1-Parametres!$B$163),'P&amp;L'!M5)</f>
        <v/>
      </c>
      <c r="P6" s="215">
        <f>IF(Parametres!$B$158=1,IF(P$3-Parametres!$B$165&gt;=1,INDEX('P&amp;L'!$B$5:$AK$5,1,P$3-Parametres!$B$165),0)*(1-Parametres!$B$163),'P&amp;L'!N5)</f>
        <v/>
      </c>
      <c r="Q6" s="215">
        <f>IF(Parametres!$B$158=1,IF(Q$3-Parametres!$B$165&gt;=1,INDEX('P&amp;L'!$B$5:$AK$5,1,Q$3-Parametres!$B$165),0)*(1-Parametres!$B$163),'P&amp;L'!O5)</f>
        <v/>
      </c>
      <c r="R6" s="215">
        <f>IF(Parametres!$B$158=1,IF(R$3-Parametres!$B$165&gt;=1,INDEX('P&amp;L'!$B$5:$AK$5,1,R$3-Parametres!$B$165),0)*(1-Parametres!$B$163),'P&amp;L'!P5)</f>
        <v/>
      </c>
      <c r="S6" s="215">
        <f>IF(Parametres!$B$158=1,IF(S$3-Parametres!$B$165&gt;=1,INDEX('P&amp;L'!$B$5:$AK$5,1,S$3-Parametres!$B$165),0)*(1-Parametres!$B$163),'P&amp;L'!Q5)</f>
        <v/>
      </c>
      <c r="T6" s="215">
        <f>IF(Parametres!$B$158=1,IF(T$3-Parametres!$B$165&gt;=1,INDEX('P&amp;L'!$B$5:$AK$5,1,T$3-Parametres!$B$165),0)*(1-Parametres!$B$163),'P&amp;L'!R5)</f>
        <v/>
      </c>
      <c r="U6" s="215">
        <f>IF(Parametres!$B$158=1,IF(U$3-Parametres!$B$165&gt;=1,INDEX('P&amp;L'!$B$5:$AK$5,1,U$3-Parametres!$B$165),0)*(1-Parametres!$B$163),'P&amp;L'!S5)</f>
        <v/>
      </c>
      <c r="V6" s="215">
        <f>IF(Parametres!$B$158=1,IF(V$3-Parametres!$B$165&gt;=1,INDEX('P&amp;L'!$B$5:$AK$5,1,V$3-Parametres!$B$165),0)*(1-Parametres!$B$163),'P&amp;L'!T5)</f>
        <v/>
      </c>
      <c r="W6" s="215">
        <f>IF(Parametres!$B$158=1,IF(W$3-Parametres!$B$165&gt;=1,INDEX('P&amp;L'!$B$5:$AK$5,1,W$3-Parametres!$B$165),0)*(1-Parametres!$B$163),'P&amp;L'!U5)</f>
        <v/>
      </c>
      <c r="X6" s="215">
        <f>IF(Parametres!$B$158=1,IF(X$3-Parametres!$B$165&gt;=1,INDEX('P&amp;L'!$B$5:$AK$5,1,X$3-Parametres!$B$165),0)*(1-Parametres!$B$163),'P&amp;L'!V5)</f>
        <v/>
      </c>
      <c r="Y6" s="215">
        <f>IF(Parametres!$B$158=1,IF(Y$3-Parametres!$B$165&gt;=1,INDEX('P&amp;L'!$B$5:$AK$5,1,Y$3-Parametres!$B$165),0)*(1-Parametres!$B$163),'P&amp;L'!W5)</f>
        <v/>
      </c>
      <c r="Z6" s="215">
        <f>IF(Parametres!$B$158=1,IF(Z$3-Parametres!$B$165&gt;=1,INDEX('P&amp;L'!$B$5:$AK$5,1,Z$3-Parametres!$B$165),0)*(1-Parametres!$B$163),'P&amp;L'!X5)</f>
        <v/>
      </c>
      <c r="AA6" s="215">
        <f>IF(Parametres!$B$158=1,IF(AA$3-Parametres!$B$165&gt;=1,INDEX('P&amp;L'!$B$5:$AK$5,1,AA$3-Parametres!$B$165),0)*(1-Parametres!$B$163),'P&amp;L'!Y5)</f>
        <v/>
      </c>
      <c r="AB6" s="215">
        <f>IF(Parametres!$B$158=1,IF(AB$3-Parametres!$B$165&gt;=1,INDEX('P&amp;L'!$B$5:$AK$5,1,AB$3-Parametres!$B$165),0)*(1-Parametres!$B$163),'P&amp;L'!Z5)</f>
        <v/>
      </c>
      <c r="AC6" s="215">
        <f>IF(Parametres!$B$158=1,IF(AC$3-Parametres!$B$165&gt;=1,INDEX('P&amp;L'!$B$5:$AK$5,1,AC$3-Parametres!$B$165),0)*(1-Parametres!$B$163),'P&amp;L'!AA5)</f>
        <v/>
      </c>
      <c r="AD6" s="215">
        <f>IF(Parametres!$B$158=1,IF(AD$3-Parametres!$B$165&gt;=1,INDEX('P&amp;L'!$B$5:$AK$5,1,AD$3-Parametres!$B$165),0)*(1-Parametres!$B$163),'P&amp;L'!AB5)</f>
        <v/>
      </c>
      <c r="AE6" s="215">
        <f>IF(Parametres!$B$158=1,IF(AE$3-Parametres!$B$165&gt;=1,INDEX('P&amp;L'!$B$5:$AK$5,1,AE$3-Parametres!$B$165),0)*(1-Parametres!$B$163),'P&amp;L'!AC5)</f>
        <v/>
      </c>
      <c r="AF6" s="215">
        <f>IF(Parametres!$B$158=1,IF(AF$3-Parametres!$B$165&gt;=1,INDEX('P&amp;L'!$B$5:$AK$5,1,AF$3-Parametres!$B$165),0)*(1-Parametres!$B$163),'P&amp;L'!AD5)</f>
        <v/>
      </c>
      <c r="AG6" s="215">
        <f>IF(Parametres!$B$158=1,IF(AG$3-Parametres!$B$165&gt;=1,INDEX('P&amp;L'!$B$5:$AK$5,1,AG$3-Parametres!$B$165),0)*(1-Parametres!$B$163),'P&amp;L'!AE5)</f>
        <v/>
      </c>
      <c r="AH6" s="215">
        <f>IF(Parametres!$B$158=1,IF(AH$3-Parametres!$B$165&gt;=1,INDEX('P&amp;L'!$B$5:$AK$5,1,AH$3-Parametres!$B$165),0)*(1-Parametres!$B$163),'P&amp;L'!AF5)</f>
        <v/>
      </c>
      <c r="AI6" s="215">
        <f>IF(Parametres!$B$158=1,IF(AI$3-Parametres!$B$165&gt;=1,INDEX('P&amp;L'!$B$5:$AK$5,1,AI$3-Parametres!$B$165),0)*(1-Parametres!$B$163),'P&amp;L'!AG5)</f>
        <v/>
      </c>
      <c r="AJ6" s="215">
        <f>IF(Parametres!$B$158=1,IF(AJ$3-Parametres!$B$165&gt;=1,INDEX('P&amp;L'!$B$5:$AK$5,1,AJ$3-Parametres!$B$165),0)*(1-Parametres!$B$163),'P&amp;L'!AH5)</f>
        <v/>
      </c>
      <c r="AK6" s="215">
        <f>IF(Parametres!$B$158=1,IF(AK$3-Parametres!$B$165&gt;=1,INDEX('P&amp;L'!$B$5:$AK$5,1,AK$3-Parametres!$B$165),0)*(1-Parametres!$B$163),'P&amp;L'!AI5)</f>
        <v/>
      </c>
      <c r="AL6" s="215">
        <f>IF(Parametres!$B$158=1,IF(AL$3-Parametres!$B$165&gt;=1,INDEX('P&amp;L'!$B$5:$AK$5,1,AL$3-Parametres!$B$165),0)*(1-Parametres!$B$163),'P&amp;L'!AJ5)</f>
        <v/>
      </c>
      <c r="AM6" s="215">
        <f>IF(Parametres!$B$158=1,IF(AM$3-Parametres!$B$165&gt;=1,INDEX('P&amp;L'!$B$5:$AK$5,1,AM$3-Parametres!$B$165),0)*(1-Parametres!$B$163),'P&amp;L'!AK5)</f>
        <v/>
      </c>
    </row>
    <row r="7" ht="15" customHeight="1" s="143">
      <c r="A7" s="11" t="inlineStr">
        <is>
          <t>Décaissements coûts variables</t>
        </is>
      </c>
      <c r="D7" s="215">
        <f>'P&amp;L'!B7</f>
        <v/>
      </c>
      <c r="E7" s="215">
        <f>'P&amp;L'!C7</f>
        <v/>
      </c>
      <c r="F7" s="215">
        <f>'P&amp;L'!D7</f>
        <v/>
      </c>
      <c r="G7" s="215">
        <f>'P&amp;L'!E7</f>
        <v/>
      </c>
      <c r="H7" s="215">
        <f>'P&amp;L'!F7</f>
        <v/>
      </c>
      <c r="I7" s="215">
        <f>'P&amp;L'!G7</f>
        <v/>
      </c>
      <c r="J7" s="215">
        <f>'P&amp;L'!H7</f>
        <v/>
      </c>
      <c r="K7" s="215">
        <f>'P&amp;L'!I7</f>
        <v/>
      </c>
      <c r="L7" s="215">
        <f>'P&amp;L'!J7</f>
        <v/>
      </c>
      <c r="M7" s="215">
        <f>'P&amp;L'!K7</f>
        <v/>
      </c>
      <c r="N7" s="215">
        <f>'P&amp;L'!L7</f>
        <v/>
      </c>
      <c r="O7" s="215">
        <f>'P&amp;L'!M7</f>
        <v/>
      </c>
      <c r="P7" s="215">
        <f>'P&amp;L'!N7</f>
        <v/>
      </c>
      <c r="Q7" s="215">
        <f>'P&amp;L'!O7</f>
        <v/>
      </c>
      <c r="R7" s="215">
        <f>'P&amp;L'!P7</f>
        <v/>
      </c>
      <c r="S7" s="215">
        <f>'P&amp;L'!Q7</f>
        <v/>
      </c>
      <c r="T7" s="215">
        <f>'P&amp;L'!R7</f>
        <v/>
      </c>
      <c r="U7" s="215">
        <f>'P&amp;L'!S7</f>
        <v/>
      </c>
      <c r="V7" s="215">
        <f>'P&amp;L'!T7</f>
        <v/>
      </c>
      <c r="W7" s="215">
        <f>'P&amp;L'!U7</f>
        <v/>
      </c>
      <c r="X7" s="215">
        <f>'P&amp;L'!V7</f>
        <v/>
      </c>
      <c r="Y7" s="215">
        <f>'P&amp;L'!W7</f>
        <v/>
      </c>
      <c r="Z7" s="215">
        <f>'P&amp;L'!X7</f>
        <v/>
      </c>
      <c r="AA7" s="215">
        <f>'P&amp;L'!Y7</f>
        <v/>
      </c>
      <c r="AB7" s="215">
        <f>'P&amp;L'!Z7</f>
        <v/>
      </c>
      <c r="AC7" s="215">
        <f>'P&amp;L'!AA7</f>
        <v/>
      </c>
      <c r="AD7" s="215">
        <f>'P&amp;L'!AB7</f>
        <v/>
      </c>
      <c r="AE7" s="215">
        <f>'P&amp;L'!AC7</f>
        <v/>
      </c>
      <c r="AF7" s="215">
        <f>'P&amp;L'!AD7</f>
        <v/>
      </c>
      <c r="AG7" s="215">
        <f>'P&amp;L'!AE7</f>
        <v/>
      </c>
      <c r="AH7" s="215">
        <f>'P&amp;L'!AF7</f>
        <v/>
      </c>
      <c r="AI7" s="215">
        <f>'P&amp;L'!AG7</f>
        <v/>
      </c>
      <c r="AJ7" s="215">
        <f>'P&amp;L'!AH7</f>
        <v/>
      </c>
      <c r="AK7" s="215">
        <f>'P&amp;L'!AI7</f>
        <v/>
      </c>
      <c r="AL7" s="215">
        <f>'P&amp;L'!AJ7</f>
        <v/>
      </c>
      <c r="AM7" s="215">
        <f>'P&amp;L'!AK7</f>
        <v/>
      </c>
    </row>
    <row r="8" ht="15" customHeight="1" s="143">
      <c r="A8" s="11" t="inlineStr">
        <is>
          <t>Décaissements OPEX</t>
        </is>
      </c>
      <c r="D8" s="215">
        <f>'P&amp;L'!B17</f>
        <v/>
      </c>
      <c r="E8" s="215">
        <f>'P&amp;L'!C17</f>
        <v/>
      </c>
      <c r="F8" s="215">
        <f>'P&amp;L'!D17</f>
        <v/>
      </c>
      <c r="G8" s="215">
        <f>'P&amp;L'!E17</f>
        <v/>
      </c>
      <c r="H8" s="215">
        <f>'P&amp;L'!F17</f>
        <v/>
      </c>
      <c r="I8" s="215">
        <f>'P&amp;L'!G17</f>
        <v/>
      </c>
      <c r="J8" s="215">
        <f>'P&amp;L'!H17</f>
        <v/>
      </c>
      <c r="K8" s="215">
        <f>'P&amp;L'!I17</f>
        <v/>
      </c>
      <c r="L8" s="215">
        <f>'P&amp;L'!J17</f>
        <v/>
      </c>
      <c r="M8" s="215">
        <f>'P&amp;L'!K17</f>
        <v/>
      </c>
      <c r="N8" s="215">
        <f>'P&amp;L'!L17</f>
        <v/>
      </c>
      <c r="O8" s="215">
        <f>'P&amp;L'!M17</f>
        <v/>
      </c>
      <c r="P8" s="215">
        <f>'P&amp;L'!N17</f>
        <v/>
      </c>
      <c r="Q8" s="215">
        <f>'P&amp;L'!O17</f>
        <v/>
      </c>
      <c r="R8" s="215">
        <f>'P&amp;L'!P17</f>
        <v/>
      </c>
      <c r="S8" s="215">
        <f>'P&amp;L'!Q17</f>
        <v/>
      </c>
      <c r="T8" s="215">
        <f>'P&amp;L'!R17</f>
        <v/>
      </c>
      <c r="U8" s="215">
        <f>'P&amp;L'!S17</f>
        <v/>
      </c>
      <c r="V8" s="215">
        <f>'P&amp;L'!T17</f>
        <v/>
      </c>
      <c r="W8" s="215">
        <f>'P&amp;L'!U17</f>
        <v/>
      </c>
      <c r="X8" s="215">
        <f>'P&amp;L'!V17</f>
        <v/>
      </c>
      <c r="Y8" s="215">
        <f>'P&amp;L'!W17</f>
        <v/>
      </c>
      <c r="Z8" s="215">
        <f>'P&amp;L'!X17</f>
        <v/>
      </c>
      <c r="AA8" s="215">
        <f>'P&amp;L'!Y17</f>
        <v/>
      </c>
      <c r="AB8" s="215">
        <f>'P&amp;L'!Z17</f>
        <v/>
      </c>
      <c r="AC8" s="215">
        <f>'P&amp;L'!AA17</f>
        <v/>
      </c>
      <c r="AD8" s="215">
        <f>'P&amp;L'!AB17</f>
        <v/>
      </c>
      <c r="AE8" s="215">
        <f>'P&amp;L'!AC17</f>
        <v/>
      </c>
      <c r="AF8" s="215">
        <f>'P&amp;L'!AD17</f>
        <v/>
      </c>
      <c r="AG8" s="215">
        <f>'P&amp;L'!AE17</f>
        <v/>
      </c>
      <c r="AH8" s="215">
        <f>'P&amp;L'!AF17</f>
        <v/>
      </c>
      <c r="AI8" s="215">
        <f>'P&amp;L'!AG17</f>
        <v/>
      </c>
      <c r="AJ8" s="215">
        <f>'P&amp;L'!AH17</f>
        <v/>
      </c>
      <c r="AK8" s="215">
        <f>'P&amp;L'!AI17</f>
        <v/>
      </c>
      <c r="AL8" s="215">
        <f>'P&amp;L'!AJ17</f>
        <v/>
      </c>
      <c r="AM8" s="215">
        <f>'P&amp;L'!AK17</f>
        <v/>
      </c>
    </row>
    <row r="9" ht="15" customHeight="1" s="143">
      <c r="A9" s="11" t="inlineStr">
        <is>
          <t>Intérêts payés</t>
        </is>
      </c>
      <c r="D9" s="215">
        <f>'P&amp;L'!B22</f>
        <v/>
      </c>
      <c r="E9" s="215">
        <f>'P&amp;L'!C22</f>
        <v/>
      </c>
      <c r="F9" s="215">
        <f>'P&amp;L'!D22</f>
        <v/>
      </c>
      <c r="G9" s="215">
        <f>'P&amp;L'!E22</f>
        <v/>
      </c>
      <c r="H9" s="215">
        <f>'P&amp;L'!F22</f>
        <v/>
      </c>
      <c r="I9" s="215">
        <f>'P&amp;L'!G22</f>
        <v/>
      </c>
      <c r="J9" s="215">
        <f>'P&amp;L'!H22</f>
        <v/>
      </c>
      <c r="K9" s="215">
        <f>'P&amp;L'!I22</f>
        <v/>
      </c>
      <c r="L9" s="215">
        <f>'P&amp;L'!J22</f>
        <v/>
      </c>
      <c r="M9" s="215">
        <f>'P&amp;L'!K22</f>
        <v/>
      </c>
      <c r="N9" s="215">
        <f>'P&amp;L'!L22</f>
        <v/>
      </c>
      <c r="O9" s="215">
        <f>'P&amp;L'!M22</f>
        <v/>
      </c>
      <c r="P9" s="215">
        <f>'P&amp;L'!N22</f>
        <v/>
      </c>
      <c r="Q9" s="215">
        <f>'P&amp;L'!O22</f>
        <v/>
      </c>
      <c r="R9" s="215">
        <f>'P&amp;L'!P22</f>
        <v/>
      </c>
      <c r="S9" s="215">
        <f>'P&amp;L'!Q22</f>
        <v/>
      </c>
      <c r="T9" s="215">
        <f>'P&amp;L'!R22</f>
        <v/>
      </c>
      <c r="U9" s="215">
        <f>'P&amp;L'!S22</f>
        <v/>
      </c>
      <c r="V9" s="215">
        <f>'P&amp;L'!T22</f>
        <v/>
      </c>
      <c r="W9" s="215">
        <f>'P&amp;L'!U22</f>
        <v/>
      </c>
      <c r="X9" s="215">
        <f>'P&amp;L'!V22</f>
        <v/>
      </c>
      <c r="Y9" s="215">
        <f>'P&amp;L'!W22</f>
        <v/>
      </c>
      <c r="Z9" s="215">
        <f>'P&amp;L'!X22</f>
        <v/>
      </c>
      <c r="AA9" s="215">
        <f>'P&amp;L'!Y22</f>
        <v/>
      </c>
      <c r="AB9" s="215">
        <f>'P&amp;L'!Z22</f>
        <v/>
      </c>
      <c r="AC9" s="215">
        <f>'P&amp;L'!AA22</f>
        <v/>
      </c>
      <c r="AD9" s="215">
        <f>'P&amp;L'!AB22</f>
        <v/>
      </c>
      <c r="AE9" s="215">
        <f>'P&amp;L'!AC22</f>
        <v/>
      </c>
      <c r="AF9" s="215">
        <f>'P&amp;L'!AD22</f>
        <v/>
      </c>
      <c r="AG9" s="215">
        <f>'P&amp;L'!AE22</f>
        <v/>
      </c>
      <c r="AH9" s="215">
        <f>'P&amp;L'!AF22</f>
        <v/>
      </c>
      <c r="AI9" s="215">
        <f>'P&amp;L'!AG22</f>
        <v/>
      </c>
      <c r="AJ9" s="215">
        <f>'P&amp;L'!AH22</f>
        <v/>
      </c>
      <c r="AK9" s="215">
        <f>'P&amp;L'!AI22</f>
        <v/>
      </c>
      <c r="AL9" s="215">
        <f>'P&amp;L'!AJ22</f>
        <v/>
      </c>
      <c r="AM9" s="215">
        <f>'P&amp;L'!AK22</f>
        <v/>
      </c>
    </row>
    <row r="10" ht="15" customHeight="1" s="143">
      <c r="A10" s="11" t="inlineStr">
        <is>
          <t>Impôts payés</t>
        </is>
      </c>
      <c r="D10" s="215">
        <f>'P&amp;L'!B24</f>
        <v/>
      </c>
      <c r="E10" s="215">
        <f>'P&amp;L'!C24</f>
        <v/>
      </c>
      <c r="F10" s="215">
        <f>'P&amp;L'!D24</f>
        <v/>
      </c>
      <c r="G10" s="215">
        <f>'P&amp;L'!E24</f>
        <v/>
      </c>
      <c r="H10" s="215">
        <f>'P&amp;L'!F24</f>
        <v/>
      </c>
      <c r="I10" s="215">
        <f>'P&amp;L'!G24</f>
        <v/>
      </c>
      <c r="J10" s="215">
        <f>'P&amp;L'!H24</f>
        <v/>
      </c>
      <c r="K10" s="215">
        <f>'P&amp;L'!I24</f>
        <v/>
      </c>
      <c r="L10" s="215">
        <f>'P&amp;L'!J24</f>
        <v/>
      </c>
      <c r="M10" s="215">
        <f>'P&amp;L'!K24</f>
        <v/>
      </c>
      <c r="N10" s="215">
        <f>'P&amp;L'!L24</f>
        <v/>
      </c>
      <c r="O10" s="215">
        <f>'P&amp;L'!M24</f>
        <v/>
      </c>
      <c r="P10" s="215">
        <f>'P&amp;L'!N24</f>
        <v/>
      </c>
      <c r="Q10" s="215">
        <f>'P&amp;L'!O24</f>
        <v/>
      </c>
      <c r="R10" s="215">
        <f>'P&amp;L'!P24</f>
        <v/>
      </c>
      <c r="S10" s="215">
        <f>'P&amp;L'!Q24</f>
        <v/>
      </c>
      <c r="T10" s="215">
        <f>'P&amp;L'!R24</f>
        <v/>
      </c>
      <c r="U10" s="215">
        <f>'P&amp;L'!S24</f>
        <v/>
      </c>
      <c r="V10" s="215">
        <f>'P&amp;L'!T24</f>
        <v/>
      </c>
      <c r="W10" s="215">
        <f>'P&amp;L'!U24</f>
        <v/>
      </c>
      <c r="X10" s="215">
        <f>'P&amp;L'!V24</f>
        <v/>
      </c>
      <c r="Y10" s="215">
        <f>'P&amp;L'!W24</f>
        <v/>
      </c>
      <c r="Z10" s="215">
        <f>'P&amp;L'!X24</f>
        <v/>
      </c>
      <c r="AA10" s="215">
        <f>'P&amp;L'!Y24</f>
        <v/>
      </c>
      <c r="AB10" s="215">
        <f>'P&amp;L'!Z24</f>
        <v/>
      </c>
      <c r="AC10" s="215">
        <f>'P&amp;L'!AA24</f>
        <v/>
      </c>
      <c r="AD10" s="215">
        <f>'P&amp;L'!AB24</f>
        <v/>
      </c>
      <c r="AE10" s="215">
        <f>'P&amp;L'!AC24</f>
        <v/>
      </c>
      <c r="AF10" s="215">
        <f>'P&amp;L'!AD24</f>
        <v/>
      </c>
      <c r="AG10" s="215">
        <f>'P&amp;L'!AE24</f>
        <v/>
      </c>
      <c r="AH10" s="215">
        <f>'P&amp;L'!AF24</f>
        <v/>
      </c>
      <c r="AI10" s="215">
        <f>'P&amp;L'!AG24</f>
        <v/>
      </c>
      <c r="AJ10" s="215">
        <f>'P&amp;L'!AH24</f>
        <v/>
      </c>
      <c r="AK10" s="215">
        <f>'P&amp;L'!AI24</f>
        <v/>
      </c>
      <c r="AL10" s="215">
        <f>'P&amp;L'!AJ24</f>
        <v/>
      </c>
      <c r="AM10" s="215">
        <f>'P&amp;L'!AK24</f>
        <v/>
      </c>
    </row>
    <row r="11" ht="15" customHeight="1" s="143">
      <c r="A11" s="72" t="inlineStr">
        <is>
          <t>Flux net opérationnel</t>
        </is>
      </c>
      <c r="C11" s="214" t="n">
        <v>0</v>
      </c>
      <c r="D11" s="214">
        <f>SUM(D6:D10)</f>
        <v/>
      </c>
      <c r="E11" s="214">
        <f>SUM(E6:E10)</f>
        <v/>
      </c>
      <c r="F11" s="214">
        <f>SUM(F6:F10)</f>
        <v/>
      </c>
      <c r="G11" s="214">
        <f>SUM(G6:G10)</f>
        <v/>
      </c>
      <c r="H11" s="214">
        <f>SUM(H6:H10)</f>
        <v/>
      </c>
      <c r="I11" s="214">
        <f>SUM(I6:I10)</f>
        <v/>
      </c>
      <c r="J11" s="214">
        <f>SUM(J6:J10)</f>
        <v/>
      </c>
      <c r="K11" s="214">
        <f>SUM(K6:K10)</f>
        <v/>
      </c>
      <c r="L11" s="214">
        <f>SUM(L6:L10)</f>
        <v/>
      </c>
      <c r="M11" s="214">
        <f>SUM(M6:M10)</f>
        <v/>
      </c>
      <c r="N11" s="214">
        <f>SUM(N6:N10)</f>
        <v/>
      </c>
      <c r="O11" s="214">
        <f>SUM(O6:O10)</f>
        <v/>
      </c>
      <c r="P11" s="214">
        <f>SUM(P6:P10)</f>
        <v/>
      </c>
      <c r="Q11" s="214">
        <f>SUM(Q6:Q10)</f>
        <v/>
      </c>
      <c r="R11" s="214">
        <f>SUM(R6:R10)</f>
        <v/>
      </c>
      <c r="S11" s="214">
        <f>SUM(S6:S10)</f>
        <v/>
      </c>
      <c r="T11" s="214">
        <f>SUM(T6:T10)</f>
        <v/>
      </c>
      <c r="U11" s="214">
        <f>SUM(U6:U10)</f>
        <v/>
      </c>
      <c r="V11" s="214">
        <f>SUM(V6:V10)</f>
        <v/>
      </c>
      <c r="W11" s="214">
        <f>SUM(W6:W10)</f>
        <v/>
      </c>
      <c r="X11" s="214">
        <f>SUM(X6:X10)</f>
        <v/>
      </c>
      <c r="Y11" s="214">
        <f>SUM(Y6:Y10)</f>
        <v/>
      </c>
      <c r="Z11" s="214">
        <f>SUM(Z6:Z10)</f>
        <v/>
      </c>
      <c r="AA11" s="214">
        <f>SUM(AA6:AA10)</f>
        <v/>
      </c>
      <c r="AB11" s="214">
        <f>SUM(AB6:AB10)</f>
        <v/>
      </c>
      <c r="AC11" s="214">
        <f>SUM(AC6:AC10)</f>
        <v/>
      </c>
      <c r="AD11" s="214">
        <f>SUM(AD6:AD10)</f>
        <v/>
      </c>
      <c r="AE11" s="214">
        <f>SUM(AE6:AE10)</f>
        <v/>
      </c>
      <c r="AF11" s="214">
        <f>SUM(AF6:AF10)</f>
        <v/>
      </c>
      <c r="AG11" s="214">
        <f>SUM(AG6:AG10)</f>
        <v/>
      </c>
      <c r="AH11" s="214">
        <f>SUM(AH6:AH10)</f>
        <v/>
      </c>
      <c r="AI11" s="214">
        <f>SUM(AI6:AI10)</f>
        <v/>
      </c>
      <c r="AJ11" s="214">
        <f>SUM(AJ6:AJ10)</f>
        <v/>
      </c>
      <c r="AK11" s="214">
        <f>SUM(AK6:AK10)</f>
        <v/>
      </c>
      <c r="AL11" s="214">
        <f>SUM(AL6:AL10)</f>
        <v/>
      </c>
      <c r="AM11" s="214">
        <f>SUM(AM6:AM10)</f>
        <v/>
      </c>
    </row>
    <row r="13" ht="15" customHeight="1" s="143">
      <c r="A13" s="8" t="inlineStr">
        <is>
          <t>FLUX D'INVESTISSEMENT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</row>
    <row r="14" ht="15" customHeight="1" s="143">
      <c r="A14" s="11" t="inlineStr">
        <is>
          <t>Acquisition d'immobilisations (CAPEX)</t>
        </is>
      </c>
      <c r="C14" s="215">
        <f>-Financement!B4</f>
        <v/>
      </c>
      <c r="D14" s="216">
        <f>0</f>
        <v/>
      </c>
      <c r="E14" s="216">
        <f>0</f>
        <v/>
      </c>
      <c r="F14" s="216">
        <f>0</f>
        <v/>
      </c>
      <c r="G14" s="216">
        <f>0</f>
        <v/>
      </c>
      <c r="H14" s="216">
        <f>0</f>
        <v/>
      </c>
      <c r="I14" s="216">
        <f>0</f>
        <v/>
      </c>
      <c r="J14" s="216">
        <f>0</f>
        <v/>
      </c>
      <c r="K14" s="216">
        <f>0</f>
        <v/>
      </c>
      <c r="L14" s="216">
        <f>0</f>
        <v/>
      </c>
      <c r="M14" s="216">
        <f>0</f>
        <v/>
      </c>
      <c r="N14" s="216">
        <f>0</f>
        <v/>
      </c>
      <c r="O14" s="216">
        <f>0</f>
        <v/>
      </c>
      <c r="P14" s="216">
        <f>0</f>
        <v/>
      </c>
      <c r="Q14" s="216">
        <f>0</f>
        <v/>
      </c>
      <c r="R14" s="216">
        <f>0</f>
        <v/>
      </c>
      <c r="S14" s="216">
        <f>0</f>
        <v/>
      </c>
      <c r="T14" s="216">
        <f>0</f>
        <v/>
      </c>
      <c r="U14" s="216">
        <f>0</f>
        <v/>
      </c>
      <c r="V14" s="216">
        <f>0</f>
        <v/>
      </c>
      <c r="W14" s="216">
        <f>0</f>
        <v/>
      </c>
      <c r="X14" s="216">
        <f>0</f>
        <v/>
      </c>
      <c r="Y14" s="216">
        <f>0</f>
        <v/>
      </c>
      <c r="Z14" s="216">
        <f>0</f>
        <v/>
      </c>
      <c r="AA14" s="216">
        <f>0</f>
        <v/>
      </c>
      <c r="AB14" s="216">
        <f>0</f>
        <v/>
      </c>
      <c r="AC14" s="216">
        <f>0</f>
        <v/>
      </c>
      <c r="AD14" s="216">
        <f>0</f>
        <v/>
      </c>
      <c r="AE14" s="216">
        <f>0</f>
        <v/>
      </c>
      <c r="AF14" s="216">
        <f>0</f>
        <v/>
      </c>
      <c r="AG14" s="216">
        <f>0</f>
        <v/>
      </c>
      <c r="AH14" s="216">
        <f>0</f>
        <v/>
      </c>
      <c r="AI14" s="216">
        <f>0</f>
        <v/>
      </c>
      <c r="AJ14" s="216">
        <f>0</f>
        <v/>
      </c>
      <c r="AK14" s="216">
        <f>0</f>
        <v/>
      </c>
      <c r="AL14" s="216">
        <f>0</f>
        <v/>
      </c>
      <c r="AM14" s="216">
        <f>0</f>
        <v/>
      </c>
    </row>
    <row r="15" ht="15" customHeight="1" s="143">
      <c r="A15" s="72" t="inlineStr">
        <is>
          <t>Flux net d'investissement</t>
        </is>
      </c>
      <c r="C15" s="214">
        <f>C14</f>
        <v/>
      </c>
      <c r="D15" s="214">
        <f>D14</f>
        <v/>
      </c>
      <c r="E15" s="214">
        <f>E14</f>
        <v/>
      </c>
      <c r="F15" s="214">
        <f>F14</f>
        <v/>
      </c>
      <c r="G15" s="214">
        <f>G14</f>
        <v/>
      </c>
      <c r="H15" s="214">
        <f>H14</f>
        <v/>
      </c>
      <c r="I15" s="214">
        <f>I14</f>
        <v/>
      </c>
      <c r="J15" s="214">
        <f>J14</f>
        <v/>
      </c>
      <c r="K15" s="214">
        <f>K14</f>
        <v/>
      </c>
      <c r="L15" s="214">
        <f>L14</f>
        <v/>
      </c>
      <c r="M15" s="214">
        <f>M14</f>
        <v/>
      </c>
      <c r="N15" s="214">
        <f>N14</f>
        <v/>
      </c>
      <c r="O15" s="214">
        <f>O14</f>
        <v/>
      </c>
      <c r="P15" s="214">
        <f>P14</f>
        <v/>
      </c>
      <c r="Q15" s="214">
        <f>Q14</f>
        <v/>
      </c>
      <c r="R15" s="214">
        <f>R14</f>
        <v/>
      </c>
      <c r="S15" s="214">
        <f>S14</f>
        <v/>
      </c>
      <c r="T15" s="214">
        <f>T14</f>
        <v/>
      </c>
      <c r="U15" s="214">
        <f>U14</f>
        <v/>
      </c>
      <c r="V15" s="214">
        <f>V14</f>
        <v/>
      </c>
      <c r="W15" s="214">
        <f>W14</f>
        <v/>
      </c>
      <c r="X15" s="214">
        <f>X14</f>
        <v/>
      </c>
      <c r="Y15" s="214">
        <f>Y14</f>
        <v/>
      </c>
      <c r="Z15" s="214">
        <f>Z14</f>
        <v/>
      </c>
      <c r="AA15" s="214">
        <f>AA14</f>
        <v/>
      </c>
      <c r="AB15" s="214">
        <f>AB14</f>
        <v/>
      </c>
      <c r="AC15" s="214">
        <f>AC14</f>
        <v/>
      </c>
      <c r="AD15" s="214">
        <f>AD14</f>
        <v/>
      </c>
      <c r="AE15" s="214">
        <f>AE14</f>
        <v/>
      </c>
      <c r="AF15" s="214">
        <f>AF14</f>
        <v/>
      </c>
      <c r="AG15" s="214">
        <f>AG14</f>
        <v/>
      </c>
      <c r="AH15" s="214">
        <f>AH14</f>
        <v/>
      </c>
      <c r="AI15" s="214">
        <f>AI14</f>
        <v/>
      </c>
      <c r="AJ15" s="214">
        <f>AJ14</f>
        <v/>
      </c>
      <c r="AK15" s="214">
        <f>AK14</f>
        <v/>
      </c>
      <c r="AL15" s="214">
        <f>AL14</f>
        <v/>
      </c>
      <c r="AM15" s="214">
        <f>AM14</f>
        <v/>
      </c>
    </row>
    <row r="17" ht="15" customHeight="1" s="143">
      <c r="A17" s="8" t="inlineStr">
        <is>
          <t>FLUX DE FINANCEMENT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</row>
    <row r="18" ht="15" customHeight="1" s="143">
      <c r="A18" s="11" t="inlineStr">
        <is>
          <t>Apport en fonds propres</t>
        </is>
      </c>
      <c r="C18" s="215">
        <f>Financement!B14</f>
        <v/>
      </c>
      <c r="D18" s="216">
        <f>0</f>
        <v/>
      </c>
      <c r="E18" s="216">
        <f>0</f>
        <v/>
      </c>
      <c r="F18" s="216">
        <f>0</f>
        <v/>
      </c>
      <c r="G18" s="216">
        <f>0</f>
        <v/>
      </c>
      <c r="H18" s="216">
        <f>0</f>
        <v/>
      </c>
      <c r="I18" s="216">
        <f>0</f>
        <v/>
      </c>
      <c r="J18" s="216">
        <f>0</f>
        <v/>
      </c>
      <c r="K18" s="216">
        <f>0</f>
        <v/>
      </c>
      <c r="L18" s="216">
        <f>0</f>
        <v/>
      </c>
      <c r="M18" s="216">
        <f>0</f>
        <v/>
      </c>
      <c r="N18" s="216">
        <f>0</f>
        <v/>
      </c>
      <c r="O18" s="216">
        <f>0</f>
        <v/>
      </c>
      <c r="P18" s="216">
        <f>0</f>
        <v/>
      </c>
      <c r="Q18" s="216">
        <f>0</f>
        <v/>
      </c>
      <c r="R18" s="216">
        <f>0</f>
        <v/>
      </c>
      <c r="S18" s="216">
        <f>0</f>
        <v/>
      </c>
      <c r="T18" s="216">
        <f>0</f>
        <v/>
      </c>
      <c r="U18" s="216">
        <f>0</f>
        <v/>
      </c>
      <c r="V18" s="216">
        <f>0</f>
        <v/>
      </c>
      <c r="W18" s="216">
        <f>0</f>
        <v/>
      </c>
      <c r="X18" s="216">
        <f>0</f>
        <v/>
      </c>
      <c r="Y18" s="216">
        <f>0</f>
        <v/>
      </c>
      <c r="Z18" s="216">
        <f>0</f>
        <v/>
      </c>
      <c r="AA18" s="216">
        <f>0</f>
        <v/>
      </c>
      <c r="AB18" s="216">
        <f>0</f>
        <v/>
      </c>
      <c r="AC18" s="216">
        <f>0</f>
        <v/>
      </c>
      <c r="AD18" s="216">
        <f>0</f>
        <v/>
      </c>
      <c r="AE18" s="216">
        <f>0</f>
        <v/>
      </c>
      <c r="AF18" s="216">
        <f>0</f>
        <v/>
      </c>
      <c r="AG18" s="216">
        <f>0</f>
        <v/>
      </c>
      <c r="AH18" s="216">
        <f>0</f>
        <v/>
      </c>
      <c r="AI18" s="216">
        <f>0</f>
        <v/>
      </c>
      <c r="AJ18" s="216">
        <f>0</f>
        <v/>
      </c>
      <c r="AK18" s="216">
        <f>0</f>
        <v/>
      </c>
      <c r="AL18" s="216">
        <f>0</f>
        <v/>
      </c>
      <c r="AM18" s="216">
        <f>0</f>
        <v/>
      </c>
    </row>
    <row r="19" ht="15" customHeight="1" s="143">
      <c r="A19" s="11" t="inlineStr">
        <is>
          <t>Emprunt reçu</t>
        </is>
      </c>
      <c r="C19" s="215">
        <f>Financement!B15</f>
        <v/>
      </c>
      <c r="D19" s="216">
        <f>0</f>
        <v/>
      </c>
      <c r="E19" s="216">
        <f>0</f>
        <v/>
      </c>
      <c r="F19" s="216">
        <f>0</f>
        <v/>
      </c>
      <c r="G19" s="216">
        <f>0</f>
        <v/>
      </c>
      <c r="H19" s="216">
        <f>0</f>
        <v/>
      </c>
      <c r="I19" s="216">
        <f>0</f>
        <v/>
      </c>
      <c r="J19" s="216">
        <f>0</f>
        <v/>
      </c>
      <c r="K19" s="216">
        <f>0</f>
        <v/>
      </c>
      <c r="L19" s="216">
        <f>0</f>
        <v/>
      </c>
      <c r="M19" s="216">
        <f>0</f>
        <v/>
      </c>
      <c r="N19" s="216">
        <f>0</f>
        <v/>
      </c>
      <c r="O19" s="216">
        <f>0</f>
        <v/>
      </c>
      <c r="P19" s="216">
        <f>0</f>
        <v/>
      </c>
      <c r="Q19" s="216">
        <f>0</f>
        <v/>
      </c>
      <c r="R19" s="216">
        <f>0</f>
        <v/>
      </c>
      <c r="S19" s="216">
        <f>0</f>
        <v/>
      </c>
      <c r="T19" s="216">
        <f>0</f>
        <v/>
      </c>
      <c r="U19" s="216">
        <f>0</f>
        <v/>
      </c>
      <c r="V19" s="216">
        <f>0</f>
        <v/>
      </c>
      <c r="W19" s="216">
        <f>0</f>
        <v/>
      </c>
      <c r="X19" s="216">
        <f>0</f>
        <v/>
      </c>
      <c r="Y19" s="216">
        <f>0</f>
        <v/>
      </c>
      <c r="Z19" s="216">
        <f>0</f>
        <v/>
      </c>
      <c r="AA19" s="216">
        <f>0</f>
        <v/>
      </c>
      <c r="AB19" s="216">
        <f>0</f>
        <v/>
      </c>
      <c r="AC19" s="216">
        <f>0</f>
        <v/>
      </c>
      <c r="AD19" s="216">
        <f>0</f>
        <v/>
      </c>
      <c r="AE19" s="216">
        <f>0</f>
        <v/>
      </c>
      <c r="AF19" s="216">
        <f>0</f>
        <v/>
      </c>
      <c r="AG19" s="216">
        <f>0</f>
        <v/>
      </c>
      <c r="AH19" s="216">
        <f>0</f>
        <v/>
      </c>
      <c r="AI19" s="216">
        <f>0</f>
        <v/>
      </c>
      <c r="AJ19" s="216">
        <f>0</f>
        <v/>
      </c>
      <c r="AK19" s="216">
        <f>0</f>
        <v/>
      </c>
      <c r="AL19" s="216">
        <f>0</f>
        <v/>
      </c>
      <c r="AM19" s="216">
        <f>0</f>
        <v/>
      </c>
    </row>
    <row r="20" ht="15" customHeight="1" s="143">
      <c r="A20" s="11" t="inlineStr">
        <is>
          <t>Remboursement du capital de l'emprunt</t>
        </is>
      </c>
      <c r="D20" s="215">
        <f>-Financement!C33</f>
        <v/>
      </c>
      <c r="E20" s="215">
        <f>-Financement!D33</f>
        <v/>
      </c>
      <c r="F20" s="215">
        <f>-Financement!E33</f>
        <v/>
      </c>
      <c r="G20" s="215">
        <f>-Financement!F33</f>
        <v/>
      </c>
      <c r="H20" s="215">
        <f>-Financement!G33</f>
        <v/>
      </c>
      <c r="I20" s="215">
        <f>-Financement!H33</f>
        <v/>
      </c>
      <c r="J20" s="215">
        <f>-Financement!I33</f>
        <v/>
      </c>
      <c r="K20" s="215">
        <f>-Financement!J33</f>
        <v/>
      </c>
      <c r="L20" s="215">
        <f>-Financement!K33</f>
        <v/>
      </c>
      <c r="M20" s="215">
        <f>-Financement!L33</f>
        <v/>
      </c>
      <c r="N20" s="215">
        <f>-Financement!M33</f>
        <v/>
      </c>
      <c r="O20" s="215">
        <f>-Financement!N33</f>
        <v/>
      </c>
      <c r="P20" s="215">
        <f>-Financement!O33</f>
        <v/>
      </c>
      <c r="Q20" s="215">
        <f>-Financement!P33</f>
        <v/>
      </c>
      <c r="R20" s="215">
        <f>-Financement!Q33</f>
        <v/>
      </c>
      <c r="S20" s="215">
        <f>-Financement!R33</f>
        <v/>
      </c>
      <c r="T20" s="215">
        <f>-Financement!S33</f>
        <v/>
      </c>
      <c r="U20" s="215">
        <f>-Financement!T33</f>
        <v/>
      </c>
      <c r="V20" s="215">
        <f>-Financement!U33</f>
        <v/>
      </c>
      <c r="W20" s="215">
        <f>-Financement!V33</f>
        <v/>
      </c>
      <c r="X20" s="215">
        <f>-Financement!W33</f>
        <v/>
      </c>
      <c r="Y20" s="215">
        <f>-Financement!X33</f>
        <v/>
      </c>
      <c r="Z20" s="215">
        <f>-Financement!Y33</f>
        <v/>
      </c>
      <c r="AA20" s="215">
        <f>-Financement!Z33</f>
        <v/>
      </c>
      <c r="AB20" s="215">
        <f>-Financement!AA33</f>
        <v/>
      </c>
      <c r="AC20" s="215">
        <f>-Financement!AB33</f>
        <v/>
      </c>
      <c r="AD20" s="215">
        <f>-Financement!AC33</f>
        <v/>
      </c>
      <c r="AE20" s="215">
        <f>-Financement!AD33</f>
        <v/>
      </c>
      <c r="AF20" s="215">
        <f>-Financement!AE33</f>
        <v/>
      </c>
      <c r="AG20" s="215">
        <f>-Financement!AF33</f>
        <v/>
      </c>
      <c r="AH20" s="215">
        <f>-Financement!AG33</f>
        <v/>
      </c>
      <c r="AI20" s="215">
        <f>-Financement!AH33</f>
        <v/>
      </c>
      <c r="AJ20" s="215">
        <f>-Financement!AI33</f>
        <v/>
      </c>
      <c r="AK20" s="215">
        <f>-Financement!AJ33</f>
        <v/>
      </c>
      <c r="AL20" s="215">
        <f>-Financement!AK33</f>
        <v/>
      </c>
      <c r="AM20" s="215">
        <f>-Financement!AL33</f>
        <v/>
      </c>
    </row>
    <row r="21" ht="15" customHeight="1" s="143">
      <c r="A21" s="72" t="inlineStr">
        <is>
          <t>Flux net de financement</t>
        </is>
      </c>
      <c r="C21" s="214">
        <f>SUM(C18:C20)</f>
        <v/>
      </c>
      <c r="D21" s="214">
        <f>SUM(D18:D20)</f>
        <v/>
      </c>
      <c r="E21" s="214">
        <f>SUM(E18:E20)</f>
        <v/>
      </c>
      <c r="F21" s="214">
        <f>SUM(F18:F20)</f>
        <v/>
      </c>
      <c r="G21" s="214">
        <f>SUM(G18:G20)</f>
        <v/>
      </c>
      <c r="H21" s="214">
        <f>SUM(H18:H20)</f>
        <v/>
      </c>
      <c r="I21" s="214">
        <f>SUM(I18:I20)</f>
        <v/>
      </c>
      <c r="J21" s="214">
        <f>SUM(J18:J20)</f>
        <v/>
      </c>
      <c r="K21" s="214">
        <f>SUM(K18:K20)</f>
        <v/>
      </c>
      <c r="L21" s="214">
        <f>SUM(L18:L20)</f>
        <v/>
      </c>
      <c r="M21" s="214">
        <f>SUM(M18:M20)</f>
        <v/>
      </c>
      <c r="N21" s="214">
        <f>SUM(N18:N20)</f>
        <v/>
      </c>
      <c r="O21" s="214">
        <f>SUM(O18:O20)</f>
        <v/>
      </c>
      <c r="P21" s="214">
        <f>SUM(P18:P20)</f>
        <v/>
      </c>
      <c r="Q21" s="214">
        <f>SUM(Q18:Q20)</f>
        <v/>
      </c>
      <c r="R21" s="214">
        <f>SUM(R18:R20)</f>
        <v/>
      </c>
      <c r="S21" s="214">
        <f>SUM(S18:S20)</f>
        <v/>
      </c>
      <c r="T21" s="214">
        <f>SUM(T18:T20)</f>
        <v/>
      </c>
      <c r="U21" s="214">
        <f>SUM(U18:U20)</f>
        <v/>
      </c>
      <c r="V21" s="214">
        <f>SUM(V18:V20)</f>
        <v/>
      </c>
      <c r="W21" s="214">
        <f>SUM(W18:W20)</f>
        <v/>
      </c>
      <c r="X21" s="214">
        <f>SUM(X18:X20)</f>
        <v/>
      </c>
      <c r="Y21" s="214">
        <f>SUM(Y18:Y20)</f>
        <v/>
      </c>
      <c r="Z21" s="214">
        <f>SUM(Z18:Z20)</f>
        <v/>
      </c>
      <c r="AA21" s="214">
        <f>SUM(AA18:AA20)</f>
        <v/>
      </c>
      <c r="AB21" s="214">
        <f>SUM(AB18:AB20)</f>
        <v/>
      </c>
      <c r="AC21" s="214">
        <f>SUM(AC18:AC20)</f>
        <v/>
      </c>
      <c r="AD21" s="214">
        <f>SUM(AD18:AD20)</f>
        <v/>
      </c>
      <c r="AE21" s="214">
        <f>SUM(AE18:AE20)</f>
        <v/>
      </c>
      <c r="AF21" s="214">
        <f>SUM(AF18:AF20)</f>
        <v/>
      </c>
      <c r="AG21" s="214">
        <f>SUM(AG18:AG20)</f>
        <v/>
      </c>
      <c r="AH21" s="214">
        <f>SUM(AH18:AH20)</f>
        <v/>
      </c>
      <c r="AI21" s="214">
        <f>SUM(AI18:AI20)</f>
        <v/>
      </c>
      <c r="AJ21" s="214">
        <f>SUM(AJ18:AJ20)</f>
        <v/>
      </c>
      <c r="AK21" s="214">
        <f>SUM(AK18:AK20)</f>
        <v/>
      </c>
      <c r="AL21" s="214">
        <f>SUM(AL18:AL20)</f>
        <v/>
      </c>
      <c r="AM21" s="214">
        <f>SUM(AM18:AM20)</f>
        <v/>
      </c>
    </row>
    <row r="23" ht="15" customHeight="1" s="143">
      <c r="A23" s="72" t="inlineStr">
        <is>
          <t>FLUX DE TRÉSORERIE NET</t>
        </is>
      </c>
      <c r="C23" s="214">
        <f>C11+C15+C21</f>
        <v/>
      </c>
      <c r="D23" s="214">
        <f>D11+D15+D21</f>
        <v/>
      </c>
      <c r="E23" s="214">
        <f>E11+E15+E21</f>
        <v/>
      </c>
      <c r="F23" s="214">
        <f>F11+F15+F21</f>
        <v/>
      </c>
      <c r="G23" s="214">
        <f>G11+G15+G21</f>
        <v/>
      </c>
      <c r="H23" s="214">
        <f>H11+H15+H21</f>
        <v/>
      </c>
      <c r="I23" s="214">
        <f>I11+I15+I21</f>
        <v/>
      </c>
      <c r="J23" s="214">
        <f>J11+J15+J21</f>
        <v/>
      </c>
      <c r="K23" s="214">
        <f>K11+K15+K21</f>
        <v/>
      </c>
      <c r="L23" s="214">
        <f>L11+L15+L21</f>
        <v/>
      </c>
      <c r="M23" s="214">
        <f>M11+M15+M21</f>
        <v/>
      </c>
      <c r="N23" s="214">
        <f>N11+N15+N21</f>
        <v/>
      </c>
      <c r="O23" s="214">
        <f>O11+O15+O21</f>
        <v/>
      </c>
      <c r="P23" s="214">
        <f>P11+P15+P21</f>
        <v/>
      </c>
      <c r="Q23" s="214">
        <f>Q11+Q15+Q21</f>
        <v/>
      </c>
      <c r="R23" s="214">
        <f>R11+R15+R21</f>
        <v/>
      </c>
      <c r="S23" s="214">
        <f>S11+S15+S21</f>
        <v/>
      </c>
      <c r="T23" s="214">
        <f>T11+T15+T21</f>
        <v/>
      </c>
      <c r="U23" s="214">
        <f>U11+U15+U21</f>
        <v/>
      </c>
      <c r="V23" s="214">
        <f>V11+V15+V21</f>
        <v/>
      </c>
      <c r="W23" s="214">
        <f>W11+W15+W21</f>
        <v/>
      </c>
      <c r="X23" s="214">
        <f>X11+X15+X21</f>
        <v/>
      </c>
      <c r="Y23" s="214">
        <f>Y11+Y15+Y21</f>
        <v/>
      </c>
      <c r="Z23" s="214">
        <f>Z11+Z15+Z21</f>
        <v/>
      </c>
      <c r="AA23" s="214">
        <f>AA11+AA15+AA21</f>
        <v/>
      </c>
      <c r="AB23" s="214">
        <f>AB11+AB15+AB21</f>
        <v/>
      </c>
      <c r="AC23" s="214">
        <f>AC11+AC15+AC21</f>
        <v/>
      </c>
      <c r="AD23" s="214">
        <f>AD11+AD15+AD21</f>
        <v/>
      </c>
      <c r="AE23" s="214">
        <f>AE11+AE15+AE21</f>
        <v/>
      </c>
      <c r="AF23" s="214">
        <f>AF11+AF15+AF21</f>
        <v/>
      </c>
      <c r="AG23" s="214">
        <f>AG11+AG15+AG21</f>
        <v/>
      </c>
      <c r="AH23" s="214">
        <f>AH11+AH15+AH21</f>
        <v/>
      </c>
      <c r="AI23" s="214">
        <f>AI11+AI15+AI21</f>
        <v/>
      </c>
      <c r="AJ23" s="214">
        <f>AJ11+AJ15+AJ21</f>
        <v/>
      </c>
      <c r="AK23" s="214">
        <f>AK11+AK15+AK21</f>
        <v/>
      </c>
      <c r="AL23" s="214">
        <f>AL11+AL15+AL21</f>
        <v/>
      </c>
      <c r="AM23" s="214">
        <f>AM11+AM15+AM21</f>
        <v/>
      </c>
    </row>
    <row r="24" ht="15" customHeight="1" s="143">
      <c r="A24" s="11" t="inlineStr">
        <is>
          <t>Trésorerie d'ouverture</t>
        </is>
      </c>
      <c r="C24" s="216" t="n">
        <v>0</v>
      </c>
      <c r="D24" s="216">
        <f>C25</f>
        <v/>
      </c>
      <c r="E24" s="216">
        <f>D25</f>
        <v/>
      </c>
      <c r="F24" s="216">
        <f>E25</f>
        <v/>
      </c>
      <c r="G24" s="216">
        <f>F25</f>
        <v/>
      </c>
      <c r="H24" s="216">
        <f>G25</f>
        <v/>
      </c>
      <c r="I24" s="216">
        <f>H25</f>
        <v/>
      </c>
      <c r="J24" s="216">
        <f>I25</f>
        <v/>
      </c>
      <c r="K24" s="216">
        <f>J25</f>
        <v/>
      </c>
      <c r="L24" s="216">
        <f>K25</f>
        <v/>
      </c>
      <c r="M24" s="216">
        <f>L25</f>
        <v/>
      </c>
      <c r="N24" s="216">
        <f>M25</f>
        <v/>
      </c>
      <c r="O24" s="216">
        <f>N25</f>
        <v/>
      </c>
      <c r="P24" s="216">
        <f>O25</f>
        <v/>
      </c>
      <c r="Q24" s="216">
        <f>P25</f>
        <v/>
      </c>
      <c r="R24" s="216">
        <f>Q25</f>
        <v/>
      </c>
      <c r="S24" s="216">
        <f>R25</f>
        <v/>
      </c>
      <c r="T24" s="216">
        <f>S25</f>
        <v/>
      </c>
      <c r="U24" s="216">
        <f>T25</f>
        <v/>
      </c>
      <c r="V24" s="216">
        <f>U25</f>
        <v/>
      </c>
      <c r="W24" s="216">
        <f>V25</f>
        <v/>
      </c>
      <c r="X24" s="216">
        <f>W25</f>
        <v/>
      </c>
      <c r="Y24" s="216">
        <f>X25</f>
        <v/>
      </c>
      <c r="Z24" s="216">
        <f>Y25</f>
        <v/>
      </c>
      <c r="AA24" s="216">
        <f>Z25</f>
        <v/>
      </c>
      <c r="AB24" s="216">
        <f>AA25</f>
        <v/>
      </c>
      <c r="AC24" s="216">
        <f>AB25</f>
        <v/>
      </c>
      <c r="AD24" s="216">
        <f>AC25</f>
        <v/>
      </c>
      <c r="AE24" s="216">
        <f>AD25</f>
        <v/>
      </c>
      <c r="AF24" s="216">
        <f>AE25</f>
        <v/>
      </c>
      <c r="AG24" s="216">
        <f>AF25</f>
        <v/>
      </c>
      <c r="AH24" s="216">
        <f>AG25</f>
        <v/>
      </c>
      <c r="AI24" s="216">
        <f>AH25</f>
        <v/>
      </c>
      <c r="AJ24" s="216">
        <f>AI25</f>
        <v/>
      </c>
      <c r="AK24" s="216">
        <f>AJ25</f>
        <v/>
      </c>
      <c r="AL24" s="216">
        <f>AK25</f>
        <v/>
      </c>
      <c r="AM24" s="216">
        <f>AL25</f>
        <v/>
      </c>
    </row>
    <row r="25" ht="15" customHeight="1" s="143">
      <c r="A25" s="72" t="inlineStr">
        <is>
          <t>TRÉSORERIE DE CLÔTURE</t>
        </is>
      </c>
      <c r="C25" s="214">
        <f>C23+C24</f>
        <v/>
      </c>
      <c r="D25" s="214">
        <f>D23+D24</f>
        <v/>
      </c>
      <c r="E25" s="214">
        <f>E23+E24</f>
        <v/>
      </c>
      <c r="F25" s="214">
        <f>F23+F24</f>
        <v/>
      </c>
      <c r="G25" s="214">
        <f>G23+G24</f>
        <v/>
      </c>
      <c r="H25" s="214">
        <f>H23+H24</f>
        <v/>
      </c>
      <c r="I25" s="214">
        <f>I23+I24</f>
        <v/>
      </c>
      <c r="J25" s="214">
        <f>J23+J24</f>
        <v/>
      </c>
      <c r="K25" s="214">
        <f>K23+K24</f>
        <v/>
      </c>
      <c r="L25" s="214">
        <f>L23+L24</f>
        <v/>
      </c>
      <c r="M25" s="214">
        <f>M23+M24</f>
        <v/>
      </c>
      <c r="N25" s="214">
        <f>N23+N24</f>
        <v/>
      </c>
      <c r="O25" s="214">
        <f>O23+O24</f>
        <v/>
      </c>
      <c r="P25" s="214">
        <f>P23+P24</f>
        <v/>
      </c>
      <c r="Q25" s="214">
        <f>Q23+Q24</f>
        <v/>
      </c>
      <c r="R25" s="214">
        <f>R23+R24</f>
        <v/>
      </c>
      <c r="S25" s="214">
        <f>S23+S24</f>
        <v/>
      </c>
      <c r="T25" s="214">
        <f>T23+T24</f>
        <v/>
      </c>
      <c r="U25" s="214">
        <f>U23+U24</f>
        <v/>
      </c>
      <c r="V25" s="214">
        <f>V23+V24</f>
        <v/>
      </c>
      <c r="W25" s="214">
        <f>W23+W24</f>
        <v/>
      </c>
      <c r="X25" s="214">
        <f>X23+X24</f>
        <v/>
      </c>
      <c r="Y25" s="214">
        <f>Y23+Y24</f>
        <v/>
      </c>
      <c r="Z25" s="214">
        <f>Z23+Z24</f>
        <v/>
      </c>
      <c r="AA25" s="214">
        <f>AA23+AA24</f>
        <v/>
      </c>
      <c r="AB25" s="214">
        <f>AB23+AB24</f>
        <v/>
      </c>
      <c r="AC25" s="214">
        <f>AC23+AC24</f>
        <v/>
      </c>
      <c r="AD25" s="214">
        <f>AD23+AD24</f>
        <v/>
      </c>
      <c r="AE25" s="214">
        <f>AE23+AE24</f>
        <v/>
      </c>
      <c r="AF25" s="214">
        <f>AF23+AF24</f>
        <v/>
      </c>
      <c r="AG25" s="214">
        <f>AG23+AG24</f>
        <v/>
      </c>
      <c r="AH25" s="214">
        <f>AH23+AH24</f>
        <v/>
      </c>
      <c r="AI25" s="214">
        <f>AI23+AI24</f>
        <v/>
      </c>
      <c r="AJ25" s="214">
        <f>AJ23+AJ24</f>
        <v/>
      </c>
      <c r="AK25" s="214">
        <f>AK23+AK24</f>
        <v/>
      </c>
      <c r="AL25" s="214">
        <f>AL23+AL24</f>
        <v/>
      </c>
      <c r="AM25" s="214">
        <f>AM23+AM24</f>
        <v/>
      </c>
    </row>
    <row r="27" ht="15" customHeight="1" s="143">
      <c r="A27" s="11" t="inlineStr">
        <is>
          <t>Burn mensuel (op. + inv., si négatif)</t>
        </is>
      </c>
      <c r="D27" s="216">
        <f>MAX(0,-(D11+D15))</f>
        <v/>
      </c>
      <c r="E27" s="216">
        <f>MAX(0,-(E11+E15))</f>
        <v/>
      </c>
      <c r="F27" s="216">
        <f>MAX(0,-(F11+F15))</f>
        <v/>
      </c>
      <c r="G27" s="216">
        <f>MAX(0,-(G11+G15))</f>
        <v/>
      </c>
      <c r="H27" s="216">
        <f>MAX(0,-(H11+H15))</f>
        <v/>
      </c>
      <c r="I27" s="216">
        <f>MAX(0,-(I11+I15))</f>
        <v/>
      </c>
      <c r="J27" s="216">
        <f>MAX(0,-(J11+J15))</f>
        <v/>
      </c>
      <c r="K27" s="216">
        <f>MAX(0,-(K11+K15))</f>
        <v/>
      </c>
      <c r="L27" s="216">
        <f>MAX(0,-(L11+L15))</f>
        <v/>
      </c>
      <c r="M27" s="216">
        <f>MAX(0,-(M11+M15))</f>
        <v/>
      </c>
      <c r="N27" s="216">
        <f>MAX(0,-(N11+N15))</f>
        <v/>
      </c>
      <c r="O27" s="216">
        <f>MAX(0,-(O11+O15))</f>
        <v/>
      </c>
      <c r="P27" s="216">
        <f>MAX(0,-(P11+P15))</f>
        <v/>
      </c>
      <c r="Q27" s="216">
        <f>MAX(0,-(Q11+Q15))</f>
        <v/>
      </c>
      <c r="R27" s="216">
        <f>MAX(0,-(R11+R15))</f>
        <v/>
      </c>
      <c r="S27" s="216">
        <f>MAX(0,-(S11+S15))</f>
        <v/>
      </c>
      <c r="T27" s="216">
        <f>MAX(0,-(T11+T15))</f>
        <v/>
      </c>
      <c r="U27" s="216">
        <f>MAX(0,-(U11+U15))</f>
        <v/>
      </c>
      <c r="V27" s="216">
        <f>MAX(0,-(V11+V15))</f>
        <v/>
      </c>
      <c r="W27" s="216">
        <f>MAX(0,-(W11+W15))</f>
        <v/>
      </c>
      <c r="X27" s="216">
        <f>MAX(0,-(X11+X15))</f>
        <v/>
      </c>
      <c r="Y27" s="216">
        <f>MAX(0,-(Y11+Y15))</f>
        <v/>
      </c>
      <c r="Z27" s="216">
        <f>MAX(0,-(Z11+Z15))</f>
        <v/>
      </c>
      <c r="AA27" s="216">
        <f>MAX(0,-(AA11+AA15))</f>
        <v/>
      </c>
      <c r="AB27" s="216">
        <f>MAX(0,-(AB11+AB15))</f>
        <v/>
      </c>
      <c r="AC27" s="216">
        <f>MAX(0,-(AC11+AC15))</f>
        <v/>
      </c>
      <c r="AD27" s="216">
        <f>MAX(0,-(AD11+AD15))</f>
        <v/>
      </c>
      <c r="AE27" s="216">
        <f>MAX(0,-(AE11+AE15))</f>
        <v/>
      </c>
      <c r="AF27" s="216">
        <f>MAX(0,-(AF11+AF15))</f>
        <v/>
      </c>
      <c r="AG27" s="216">
        <f>MAX(0,-(AG11+AG15))</f>
        <v/>
      </c>
      <c r="AH27" s="216">
        <f>MAX(0,-(AH11+AH15))</f>
        <v/>
      </c>
      <c r="AI27" s="216">
        <f>MAX(0,-(AI11+AI15))</f>
        <v/>
      </c>
      <c r="AJ27" s="216">
        <f>MAX(0,-(AJ11+AJ15))</f>
        <v/>
      </c>
      <c r="AK27" s="216">
        <f>MAX(0,-(AK11+AK15))</f>
        <v/>
      </c>
      <c r="AL27" s="216">
        <f>MAX(0,-(AL11+AL15))</f>
        <v/>
      </c>
      <c r="AM27" s="216">
        <f>MAX(0,-(AM11+AM15))</f>
        <v/>
      </c>
    </row>
    <row r="28" ht="15" customHeight="1" s="143">
      <c r="A28" s="11" t="inlineStr">
        <is>
          <t>Runway (mois de trésorerie au rythme du mois)</t>
        </is>
      </c>
      <c r="D28" s="73">
        <f>IF(D27&gt;0,D25/D27,"∞")</f>
        <v/>
      </c>
      <c r="E28" s="73">
        <f>IF(E27&gt;0,E25/E27,"∞")</f>
        <v/>
      </c>
      <c r="F28" s="73">
        <f>IF(F27&gt;0,F25/F27,"∞")</f>
        <v/>
      </c>
      <c r="G28" s="73">
        <f>IF(G27&gt;0,G25/G27,"∞")</f>
        <v/>
      </c>
      <c r="H28" s="73">
        <f>IF(H27&gt;0,H25/H27,"∞")</f>
        <v/>
      </c>
      <c r="I28" s="73">
        <f>IF(I27&gt;0,I25/I27,"∞")</f>
        <v/>
      </c>
      <c r="J28" s="73">
        <f>IF(J27&gt;0,J25/J27,"∞")</f>
        <v/>
      </c>
      <c r="K28" s="73">
        <f>IF(K27&gt;0,K25/K27,"∞")</f>
        <v/>
      </c>
      <c r="L28" s="73">
        <f>IF(L27&gt;0,L25/L27,"∞")</f>
        <v/>
      </c>
      <c r="M28" s="73">
        <f>IF(M27&gt;0,M25/M27,"∞")</f>
        <v/>
      </c>
      <c r="N28" s="73">
        <f>IF(N27&gt;0,N25/N27,"∞")</f>
        <v/>
      </c>
      <c r="O28" s="73">
        <f>IF(O27&gt;0,O25/O27,"∞")</f>
        <v/>
      </c>
      <c r="P28" s="73">
        <f>IF(P27&gt;0,P25/P27,"∞")</f>
        <v/>
      </c>
      <c r="Q28" s="73">
        <f>IF(Q27&gt;0,Q25/Q27,"∞")</f>
        <v/>
      </c>
      <c r="R28" s="73">
        <f>IF(R27&gt;0,R25/R27,"∞")</f>
        <v/>
      </c>
      <c r="S28" s="73">
        <f>IF(S27&gt;0,S25/S27,"∞")</f>
        <v/>
      </c>
      <c r="T28" s="73">
        <f>IF(T27&gt;0,T25/T27,"∞")</f>
        <v/>
      </c>
      <c r="U28" s="73">
        <f>IF(U27&gt;0,U25/U27,"∞")</f>
        <v/>
      </c>
      <c r="V28" s="73">
        <f>IF(V27&gt;0,V25/V27,"∞")</f>
        <v/>
      </c>
      <c r="W28" s="73">
        <f>IF(W27&gt;0,W25/W27,"∞")</f>
        <v/>
      </c>
      <c r="X28" s="73">
        <f>IF(X27&gt;0,X25/X27,"∞")</f>
        <v/>
      </c>
      <c r="Y28" s="73">
        <f>IF(Y27&gt;0,Y25/Y27,"∞")</f>
        <v/>
      </c>
      <c r="Z28" s="73">
        <f>IF(Z27&gt;0,Z25/Z27,"∞")</f>
        <v/>
      </c>
      <c r="AA28" s="73">
        <f>IF(AA27&gt;0,AA25/AA27,"∞")</f>
        <v/>
      </c>
      <c r="AB28" s="73">
        <f>IF(AB27&gt;0,AB25/AB27,"∞")</f>
        <v/>
      </c>
      <c r="AC28" s="73">
        <f>IF(AC27&gt;0,AC25/AC27,"∞")</f>
        <v/>
      </c>
      <c r="AD28" s="73">
        <f>IF(AD27&gt;0,AD25/AD27,"∞")</f>
        <v/>
      </c>
      <c r="AE28" s="73">
        <f>IF(AE27&gt;0,AE25/AE27,"∞")</f>
        <v/>
      </c>
      <c r="AF28" s="73">
        <f>IF(AF27&gt;0,AF25/AF27,"∞")</f>
        <v/>
      </c>
      <c r="AG28" s="73">
        <f>IF(AG27&gt;0,AG25/AG27,"∞")</f>
        <v/>
      </c>
      <c r="AH28" s="73">
        <f>IF(AH27&gt;0,AH25/AH27,"∞")</f>
        <v/>
      </c>
      <c r="AI28" s="73">
        <f>IF(AI27&gt;0,AI25/AI27,"∞")</f>
        <v/>
      </c>
      <c r="AJ28" s="73">
        <f>IF(AJ27&gt;0,AJ25/AJ27,"∞")</f>
        <v/>
      </c>
      <c r="AK28" s="73">
        <f>IF(AK27&gt;0,AK25/AK27,"∞")</f>
        <v/>
      </c>
      <c r="AL28" s="73">
        <f>IF(AL27&gt;0,AL25/AL27,"∞")</f>
        <v/>
      </c>
      <c r="AM28" s="73">
        <f>IF(AM27&gt;0,AM25/AM27,"∞")</f>
        <v/>
      </c>
    </row>
    <row r="30" ht="15" customHeight="1" s="143">
      <c r="A30" s="11" t="inlineStr">
        <is>
          <t>Choix IAS 7 : intérêts payés classés en flux opérationnels ; le remboursement du capital en flux de financement. Modèle 100 % cash (Mobile Money) : pas de délai de paiement clients.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90"/>
  <sheetViews>
    <sheetView showGridLines="0" zoomScale="110" zoomScaleNormal="11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B53" sqref="B53"/>
      <selection pane="topRight" activeCell="B53" sqref="B53"/>
      <selection pane="bottomLeft" activeCell="B53" sqref="B53"/>
      <selection pane="bottomRight" activeCell="F20" sqref="F20"/>
    </sheetView>
  </sheetViews>
  <sheetFormatPr baseColWidth="10" defaultColWidth="8.83203125" defaultRowHeight="15"/>
  <cols>
    <col width="80" customWidth="1" style="143" min="1" max="1"/>
    <col width="11" customWidth="1" style="143" min="2" max="2"/>
    <col width="11" customWidth="1" style="143" min="3" max="37"/>
    <col width="11" customWidth="1" style="143" min="4" max="4"/>
    <col width="11" customWidth="1" style="143" min="5" max="5"/>
    <col width="11" customWidth="1" style="143" min="6" max="6"/>
    <col width="11" customWidth="1" style="143" min="7" max="7"/>
    <col width="11" customWidth="1" style="143" min="8" max="8"/>
    <col width="11" customWidth="1" style="143" min="9" max="9"/>
    <col width="11" customWidth="1" style="143" min="10" max="10"/>
    <col width="11" customWidth="1" style="143" min="11" max="11"/>
    <col width="11" customWidth="1" style="143" min="12" max="12"/>
    <col width="11" customWidth="1" style="143" min="13" max="13"/>
    <col width="11" customWidth="1" style="143" min="14" max="14"/>
    <col width="11" customWidth="1" style="143" min="15" max="15"/>
    <col width="11" customWidth="1" style="143" min="16" max="16"/>
    <col width="11" customWidth="1" style="143" min="17" max="17"/>
    <col width="11" customWidth="1" style="143" min="18" max="18"/>
    <col width="11" customWidth="1" style="143" min="19" max="19"/>
    <col width="11" customWidth="1" style="143" min="20" max="20"/>
    <col width="11" customWidth="1" style="143" min="21" max="21"/>
    <col width="11" customWidth="1" style="143" min="22" max="22"/>
    <col width="11" customWidth="1" style="143" min="23" max="23"/>
    <col width="11" customWidth="1" style="143" min="24" max="24"/>
    <col width="11" customWidth="1" style="143" min="25" max="25"/>
    <col width="11" customWidth="1" style="143" min="26" max="26"/>
    <col width="11" customWidth="1" style="143" min="27" max="27"/>
    <col width="11" customWidth="1" style="143" min="28" max="28"/>
    <col width="11" customWidth="1" style="143" min="29" max="29"/>
    <col width="11" customWidth="1" style="143" min="30" max="30"/>
    <col width="11" customWidth="1" style="143" min="31" max="31"/>
    <col width="11" customWidth="1" style="143" min="32" max="32"/>
    <col width="11" customWidth="1" style="143" min="33" max="33"/>
    <col width="11" customWidth="1" style="143" min="34" max="34"/>
    <col width="11" customWidth="1" style="143" min="35" max="35"/>
    <col width="11" customWidth="1" style="143" min="36" max="36"/>
    <col width="11" customWidth="1" style="143" min="37" max="37"/>
  </cols>
  <sheetData>
    <row r="1" ht="22" customHeight="1" s="143">
      <c r="A1" s="159" t="inlineStr">
        <is>
          <t>KPI MARKETPLACE — mensuels M1–M36 (MGA) et synthèse annuelle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59" t="n"/>
      <c r="N1" s="159" t="n"/>
      <c r="O1" s="159" t="n"/>
      <c r="P1" s="159" t="n"/>
      <c r="Q1" s="159" t="n"/>
      <c r="R1" s="159" t="n"/>
      <c r="S1" s="159" t="n"/>
      <c r="T1" s="159" t="n"/>
      <c r="U1" s="159" t="n"/>
      <c r="V1" s="159" t="n"/>
      <c r="W1" s="159" t="n"/>
      <c r="X1" s="159" t="n"/>
      <c r="Y1" s="159" t="n"/>
      <c r="Z1" s="159" t="n"/>
      <c r="AA1" s="159" t="n"/>
      <c r="AB1" s="159" t="n"/>
      <c r="AC1" s="159" t="n"/>
      <c r="AD1" s="159" t="n"/>
      <c r="AE1" s="159" t="n"/>
      <c r="AF1" s="159" t="n"/>
      <c r="AG1" s="159" t="n"/>
      <c r="AH1" s="159" t="n"/>
      <c r="AI1" s="159" t="n"/>
      <c r="AJ1" s="159" t="n"/>
      <c r="AK1" s="159" t="n"/>
    </row>
    <row r="2" s="143">
      <c r="A2" s="162" t="inlineStr">
        <is>
          <t>Année</t>
        </is>
      </c>
      <c r="B2" s="201">
        <f>'Plan ventes'!B2</f>
        <v/>
      </c>
      <c r="C2" s="201">
        <f>'Plan ventes'!C2</f>
        <v/>
      </c>
      <c r="D2" s="201">
        <f>'Plan ventes'!D2</f>
        <v/>
      </c>
      <c r="E2" s="201">
        <f>'Plan ventes'!E2</f>
        <v/>
      </c>
      <c r="F2" s="201">
        <f>'Plan ventes'!F2</f>
        <v/>
      </c>
      <c r="G2" s="201">
        <f>'Plan ventes'!G2</f>
        <v/>
      </c>
      <c r="H2" s="201">
        <f>'Plan ventes'!H2</f>
        <v/>
      </c>
      <c r="I2" s="201">
        <f>'Plan ventes'!I2</f>
        <v/>
      </c>
      <c r="J2" s="201">
        <f>'Plan ventes'!J2</f>
        <v/>
      </c>
      <c r="K2" s="201">
        <f>'Plan ventes'!K2</f>
        <v/>
      </c>
      <c r="L2" s="201">
        <f>'Plan ventes'!L2</f>
        <v/>
      </c>
      <c r="M2" s="201">
        <f>'Plan ventes'!M2</f>
        <v/>
      </c>
      <c r="N2" s="201">
        <f>'Plan ventes'!N2</f>
        <v/>
      </c>
      <c r="O2" s="201">
        <f>'Plan ventes'!O2</f>
        <v/>
      </c>
      <c r="P2" s="201">
        <f>'Plan ventes'!P2</f>
        <v/>
      </c>
      <c r="Q2" s="201">
        <f>'Plan ventes'!Q2</f>
        <v/>
      </c>
      <c r="R2" s="201">
        <f>'Plan ventes'!R2</f>
        <v/>
      </c>
      <c r="S2" s="201">
        <f>'Plan ventes'!S2</f>
        <v/>
      </c>
      <c r="T2" s="201">
        <f>'Plan ventes'!T2</f>
        <v/>
      </c>
      <c r="U2" s="201">
        <f>'Plan ventes'!U2</f>
        <v/>
      </c>
      <c r="V2" s="201">
        <f>'Plan ventes'!V2</f>
        <v/>
      </c>
      <c r="W2" s="201">
        <f>'Plan ventes'!W2</f>
        <v/>
      </c>
      <c r="X2" s="201">
        <f>'Plan ventes'!X2</f>
        <v/>
      </c>
      <c r="Y2" s="201">
        <f>'Plan ventes'!Y2</f>
        <v/>
      </c>
      <c r="Z2" s="201">
        <f>'Plan ventes'!Z2</f>
        <v/>
      </c>
      <c r="AA2" s="201">
        <f>'Plan ventes'!AA2</f>
        <v/>
      </c>
      <c r="AB2" s="201">
        <f>'Plan ventes'!AB2</f>
        <v/>
      </c>
      <c r="AC2" s="201">
        <f>'Plan ventes'!AC2</f>
        <v/>
      </c>
      <c r="AD2" s="201">
        <f>'Plan ventes'!AD2</f>
        <v/>
      </c>
      <c r="AE2" s="201">
        <f>'Plan ventes'!AE2</f>
        <v/>
      </c>
      <c r="AF2" s="201">
        <f>'Plan ventes'!AF2</f>
        <v/>
      </c>
      <c r="AG2" s="201">
        <f>'Plan ventes'!AG2</f>
        <v/>
      </c>
      <c r="AH2" s="201">
        <f>'Plan ventes'!AH2</f>
        <v/>
      </c>
      <c r="AI2" s="201">
        <f>'Plan ventes'!AI2</f>
        <v/>
      </c>
      <c r="AJ2" s="201">
        <f>'Plan ventes'!AJ2</f>
        <v/>
      </c>
      <c r="AK2" s="201">
        <f>'Plan ventes'!AK2</f>
        <v/>
      </c>
    </row>
    <row r="3" s="143">
      <c r="A3" s="162" t="inlineStr">
        <is>
          <t>Mois</t>
        </is>
      </c>
      <c r="B3" s="201">
        <f>'Plan ventes'!B3</f>
        <v/>
      </c>
      <c r="C3" s="201">
        <f>'Plan ventes'!C3</f>
        <v/>
      </c>
      <c r="D3" s="201">
        <f>'Plan ventes'!D3</f>
        <v/>
      </c>
      <c r="E3" s="201">
        <f>'Plan ventes'!E3</f>
        <v/>
      </c>
      <c r="F3" s="201">
        <f>'Plan ventes'!F3</f>
        <v/>
      </c>
      <c r="G3" s="201">
        <f>'Plan ventes'!G3</f>
        <v/>
      </c>
      <c r="H3" s="201">
        <f>'Plan ventes'!H3</f>
        <v/>
      </c>
      <c r="I3" s="201">
        <f>'Plan ventes'!I3</f>
        <v/>
      </c>
      <c r="J3" s="201">
        <f>'Plan ventes'!J3</f>
        <v/>
      </c>
      <c r="K3" s="201">
        <f>'Plan ventes'!K3</f>
        <v/>
      </c>
      <c r="L3" s="201">
        <f>'Plan ventes'!L3</f>
        <v/>
      </c>
      <c r="M3" s="201">
        <f>'Plan ventes'!M3</f>
        <v/>
      </c>
      <c r="N3" s="201">
        <f>'Plan ventes'!N3</f>
        <v/>
      </c>
      <c r="O3" s="201">
        <f>'Plan ventes'!O3</f>
        <v/>
      </c>
      <c r="P3" s="201">
        <f>'Plan ventes'!P3</f>
        <v/>
      </c>
      <c r="Q3" s="201">
        <f>'Plan ventes'!Q3</f>
        <v/>
      </c>
      <c r="R3" s="201">
        <f>'Plan ventes'!R3</f>
        <v/>
      </c>
      <c r="S3" s="201">
        <f>'Plan ventes'!S3</f>
        <v/>
      </c>
      <c r="T3" s="201">
        <f>'Plan ventes'!T3</f>
        <v/>
      </c>
      <c r="U3" s="201">
        <f>'Plan ventes'!U3</f>
        <v/>
      </c>
      <c r="V3" s="201">
        <f>'Plan ventes'!V3</f>
        <v/>
      </c>
      <c r="W3" s="201">
        <f>'Plan ventes'!W3</f>
        <v/>
      </c>
      <c r="X3" s="201">
        <f>'Plan ventes'!X3</f>
        <v/>
      </c>
      <c r="Y3" s="201">
        <f>'Plan ventes'!Y3</f>
        <v/>
      </c>
      <c r="Z3" s="201">
        <f>'Plan ventes'!Z3</f>
        <v/>
      </c>
      <c r="AA3" s="201">
        <f>'Plan ventes'!AA3</f>
        <v/>
      </c>
      <c r="AB3" s="201">
        <f>'Plan ventes'!AB3</f>
        <v/>
      </c>
      <c r="AC3" s="201">
        <f>'Plan ventes'!AC3</f>
        <v/>
      </c>
      <c r="AD3" s="201">
        <f>'Plan ventes'!AD3</f>
        <v/>
      </c>
      <c r="AE3" s="201">
        <f>'Plan ventes'!AE3</f>
        <v/>
      </c>
      <c r="AF3" s="201">
        <f>'Plan ventes'!AF3</f>
        <v/>
      </c>
      <c r="AG3" s="201">
        <f>'Plan ventes'!AG3</f>
        <v/>
      </c>
      <c r="AH3" s="201">
        <f>'Plan ventes'!AH3</f>
        <v/>
      </c>
      <c r="AI3" s="201">
        <f>'Plan ventes'!AI3</f>
        <v/>
      </c>
      <c r="AJ3" s="201">
        <f>'Plan ventes'!AJ3</f>
        <v/>
      </c>
      <c r="AK3" s="201">
        <f>'Plan ventes'!AK3</f>
        <v/>
      </c>
    </row>
    <row r="4" s="143">
      <c r="A4" s="149" t="n"/>
      <c r="B4" s="149" t="n"/>
      <c r="C4" s="149" t="n"/>
      <c r="D4" s="149" t="n"/>
      <c r="E4" s="149" t="n"/>
      <c r="F4" s="149" t="n"/>
      <c r="G4" s="149" t="n"/>
      <c r="H4" s="149" t="n"/>
      <c r="I4" s="149" t="n"/>
      <c r="J4" s="149" t="n"/>
      <c r="K4" s="149" t="n"/>
      <c r="L4" s="149" t="n"/>
      <c r="M4" s="149" t="n"/>
      <c r="N4" s="149" t="n"/>
      <c r="O4" s="149" t="n"/>
      <c r="P4" s="149" t="n"/>
      <c r="Q4" s="149" t="n"/>
      <c r="R4" s="149" t="n"/>
      <c r="S4" s="149" t="n"/>
      <c r="T4" s="149" t="n"/>
      <c r="U4" s="149" t="n"/>
      <c r="V4" s="149" t="n"/>
      <c r="W4" s="149" t="n"/>
      <c r="X4" s="149" t="n"/>
      <c r="Y4" s="149" t="n"/>
      <c r="Z4" s="149" t="n"/>
      <c r="AA4" s="149" t="n"/>
      <c r="AB4" s="149" t="n"/>
      <c r="AC4" s="149" t="n"/>
      <c r="AD4" s="149" t="n"/>
      <c r="AE4" s="149" t="n"/>
      <c r="AF4" s="149" t="n"/>
      <c r="AG4" s="149" t="n"/>
      <c r="AH4" s="149" t="n"/>
      <c r="AI4" s="149" t="n"/>
      <c r="AJ4" s="149" t="n"/>
      <c r="AK4" s="149" t="n"/>
    </row>
    <row r="5" ht="18" customHeight="1" s="143">
      <c r="A5" s="150" t="inlineStr">
        <is>
          <t>CROISSANCE &amp; VOLUME D'AFFAIRES</t>
        </is>
      </c>
      <c r="B5" s="150" t="n"/>
      <c r="C5" s="150" t="n"/>
      <c r="D5" s="150" t="n"/>
      <c r="E5" s="150" t="n"/>
      <c r="F5" s="150" t="n"/>
      <c r="G5" s="150" t="n"/>
      <c r="H5" s="150" t="n"/>
      <c r="I5" s="150" t="n"/>
      <c r="J5" s="150" t="n"/>
      <c r="K5" s="150" t="n"/>
      <c r="L5" s="150" t="n"/>
      <c r="M5" s="150" t="n"/>
      <c r="N5" s="150" t="n"/>
      <c r="O5" s="150" t="n"/>
      <c r="P5" s="150" t="n"/>
      <c r="Q5" s="150" t="n"/>
      <c r="R5" s="150" t="n"/>
      <c r="S5" s="150" t="n"/>
      <c r="T5" s="150" t="n"/>
      <c r="U5" s="150" t="n"/>
      <c r="V5" s="150" t="n"/>
      <c r="W5" s="150" t="n"/>
      <c r="X5" s="150" t="n"/>
      <c r="Y5" s="150" t="n"/>
      <c r="Z5" s="150" t="n"/>
      <c r="AA5" s="150" t="n"/>
      <c r="AB5" s="150" t="n"/>
      <c r="AC5" s="150" t="n"/>
      <c r="AD5" s="150" t="n"/>
      <c r="AE5" s="150" t="n"/>
      <c r="AF5" s="150" t="n"/>
      <c r="AG5" s="150" t="n"/>
      <c r="AH5" s="150" t="n"/>
      <c r="AI5" s="150" t="n"/>
      <c r="AJ5" s="150" t="n"/>
      <c r="AK5" s="150" t="n"/>
    </row>
    <row r="6" s="143">
      <c r="A6" s="149" t="inlineStr">
        <is>
          <t>GMV (volume d'affaires brut)</t>
        </is>
      </c>
      <c r="B6" s="168">
        <f>'Plan ventes'!B60</f>
        <v/>
      </c>
      <c r="C6" s="168">
        <f>'Plan ventes'!C60</f>
        <v/>
      </c>
      <c r="D6" s="168">
        <f>'Plan ventes'!D60</f>
        <v/>
      </c>
      <c r="E6" s="168">
        <f>'Plan ventes'!E60</f>
        <v/>
      </c>
      <c r="F6" s="168">
        <f>'Plan ventes'!F60</f>
        <v/>
      </c>
      <c r="G6" s="168">
        <f>'Plan ventes'!G60</f>
        <v/>
      </c>
      <c r="H6" s="168">
        <f>'Plan ventes'!H60</f>
        <v/>
      </c>
      <c r="I6" s="168">
        <f>'Plan ventes'!I60</f>
        <v/>
      </c>
      <c r="J6" s="168">
        <f>'Plan ventes'!J60</f>
        <v/>
      </c>
      <c r="K6" s="168">
        <f>'Plan ventes'!K60</f>
        <v/>
      </c>
      <c r="L6" s="168">
        <f>'Plan ventes'!L60</f>
        <v/>
      </c>
      <c r="M6" s="168">
        <f>'Plan ventes'!M60</f>
        <v/>
      </c>
      <c r="N6" s="168">
        <f>'Plan ventes'!N60</f>
        <v/>
      </c>
      <c r="O6" s="168">
        <f>'Plan ventes'!O60</f>
        <v/>
      </c>
      <c r="P6" s="168">
        <f>'Plan ventes'!P60</f>
        <v/>
      </c>
      <c r="Q6" s="168">
        <f>'Plan ventes'!Q60</f>
        <v/>
      </c>
      <c r="R6" s="168">
        <f>'Plan ventes'!R60</f>
        <v/>
      </c>
      <c r="S6" s="168">
        <f>'Plan ventes'!S60</f>
        <v/>
      </c>
      <c r="T6" s="168">
        <f>'Plan ventes'!T60</f>
        <v/>
      </c>
      <c r="U6" s="168">
        <f>'Plan ventes'!U60</f>
        <v/>
      </c>
      <c r="V6" s="168">
        <f>'Plan ventes'!V60</f>
        <v/>
      </c>
      <c r="W6" s="168">
        <f>'Plan ventes'!W60</f>
        <v/>
      </c>
      <c r="X6" s="168">
        <f>'Plan ventes'!X60</f>
        <v/>
      </c>
      <c r="Y6" s="168">
        <f>'Plan ventes'!Y60</f>
        <v/>
      </c>
      <c r="Z6" s="168">
        <f>'Plan ventes'!Z60</f>
        <v/>
      </c>
      <c r="AA6" s="168">
        <f>'Plan ventes'!AA60</f>
        <v/>
      </c>
      <c r="AB6" s="168">
        <f>'Plan ventes'!AB60</f>
        <v/>
      </c>
      <c r="AC6" s="168">
        <f>'Plan ventes'!AC60</f>
        <v/>
      </c>
      <c r="AD6" s="168">
        <f>'Plan ventes'!AD60</f>
        <v/>
      </c>
      <c r="AE6" s="168">
        <f>'Plan ventes'!AE60</f>
        <v/>
      </c>
      <c r="AF6" s="168">
        <f>'Plan ventes'!AF60</f>
        <v/>
      </c>
      <c r="AG6" s="168">
        <f>'Plan ventes'!AG60</f>
        <v/>
      </c>
      <c r="AH6" s="168">
        <f>'Plan ventes'!AH60</f>
        <v/>
      </c>
      <c r="AI6" s="168">
        <f>'Plan ventes'!AI60</f>
        <v/>
      </c>
      <c r="AJ6" s="168">
        <f>'Plan ventes'!AJ60</f>
        <v/>
      </c>
      <c r="AK6" s="168">
        <f>'Plan ventes'!AK60</f>
        <v/>
      </c>
    </row>
    <row r="7" s="143">
      <c r="A7" s="149" t="inlineStr">
        <is>
          <t>Chiffre d'affaires net (IFRS 15, après stress)</t>
        </is>
      </c>
      <c r="B7" s="168">
        <f>'P&amp;L'!B5</f>
        <v/>
      </c>
      <c r="C7" s="168">
        <f>'P&amp;L'!C5</f>
        <v/>
      </c>
      <c r="D7" s="168">
        <f>'P&amp;L'!D5</f>
        <v/>
      </c>
      <c r="E7" s="168">
        <f>'P&amp;L'!E5</f>
        <v/>
      </c>
      <c r="F7" s="168">
        <f>'P&amp;L'!F5</f>
        <v/>
      </c>
      <c r="G7" s="168">
        <f>'P&amp;L'!G5</f>
        <v/>
      </c>
      <c r="H7" s="168">
        <f>'P&amp;L'!H5</f>
        <v/>
      </c>
      <c r="I7" s="168">
        <f>'P&amp;L'!I5</f>
        <v/>
      </c>
      <c r="J7" s="168">
        <f>'P&amp;L'!J5</f>
        <v/>
      </c>
      <c r="K7" s="168">
        <f>'P&amp;L'!K5</f>
        <v/>
      </c>
      <c r="L7" s="168">
        <f>'P&amp;L'!L5</f>
        <v/>
      </c>
      <c r="M7" s="168">
        <f>'P&amp;L'!M5</f>
        <v/>
      </c>
      <c r="N7" s="168">
        <f>'P&amp;L'!N5</f>
        <v/>
      </c>
      <c r="O7" s="168">
        <f>'P&amp;L'!O5</f>
        <v/>
      </c>
      <c r="P7" s="168">
        <f>'P&amp;L'!P5</f>
        <v/>
      </c>
      <c r="Q7" s="168">
        <f>'P&amp;L'!Q5</f>
        <v/>
      </c>
      <c r="R7" s="168">
        <f>'P&amp;L'!R5</f>
        <v/>
      </c>
      <c r="S7" s="168">
        <f>'P&amp;L'!S5</f>
        <v/>
      </c>
      <c r="T7" s="168">
        <f>'P&amp;L'!T5</f>
        <v/>
      </c>
      <c r="U7" s="168">
        <f>'P&amp;L'!U5</f>
        <v/>
      </c>
      <c r="V7" s="168">
        <f>'P&amp;L'!V5</f>
        <v/>
      </c>
      <c r="W7" s="168">
        <f>'P&amp;L'!W5</f>
        <v/>
      </c>
      <c r="X7" s="168">
        <f>'P&amp;L'!X5</f>
        <v/>
      </c>
      <c r="Y7" s="168">
        <f>'P&amp;L'!Y5</f>
        <v/>
      </c>
      <c r="Z7" s="168">
        <f>'P&amp;L'!Z5</f>
        <v/>
      </c>
      <c r="AA7" s="168">
        <f>'P&amp;L'!AA5</f>
        <v/>
      </c>
      <c r="AB7" s="168">
        <f>'P&amp;L'!AB5</f>
        <v/>
      </c>
      <c r="AC7" s="168">
        <f>'P&amp;L'!AC5</f>
        <v/>
      </c>
      <c r="AD7" s="168">
        <f>'P&amp;L'!AD5</f>
        <v/>
      </c>
      <c r="AE7" s="168">
        <f>'P&amp;L'!AE5</f>
        <v/>
      </c>
      <c r="AF7" s="168">
        <f>'P&amp;L'!AF5</f>
        <v/>
      </c>
      <c r="AG7" s="168">
        <f>'P&amp;L'!AG5</f>
        <v/>
      </c>
      <c r="AH7" s="168">
        <f>'P&amp;L'!AH5</f>
        <v/>
      </c>
      <c r="AI7" s="168">
        <f>'P&amp;L'!AI5</f>
        <v/>
      </c>
      <c r="AJ7" s="168">
        <f>'P&amp;L'!AJ5</f>
        <v/>
      </c>
      <c r="AK7" s="168">
        <f>'P&amp;L'!AK5</f>
        <v/>
      </c>
    </row>
    <row r="8" s="143">
      <c r="A8" s="149" t="inlineStr">
        <is>
          <t>Take rate effectif (CA transactionnel / GMV)</t>
        </is>
      </c>
      <c r="B8" s="152">
        <f>IF('Plan ventes'!B60=0,0,'Plan ventes'!B62/'Plan ventes'!B60)</f>
        <v/>
      </c>
      <c r="C8" s="152">
        <f>IF('Plan ventes'!C60=0,0,'Plan ventes'!C62/'Plan ventes'!C60)</f>
        <v/>
      </c>
      <c r="D8" s="152">
        <f>IF('Plan ventes'!D60=0,0,'Plan ventes'!D62/'Plan ventes'!D60)</f>
        <v/>
      </c>
      <c r="E8" s="152">
        <f>IF('Plan ventes'!E60=0,0,'Plan ventes'!E62/'Plan ventes'!E60)</f>
        <v/>
      </c>
      <c r="F8" s="152">
        <f>IF('Plan ventes'!F60=0,0,'Plan ventes'!F62/'Plan ventes'!F60)</f>
        <v/>
      </c>
      <c r="G8" s="152">
        <f>IF('Plan ventes'!G60=0,0,'Plan ventes'!G62/'Plan ventes'!G60)</f>
        <v/>
      </c>
      <c r="H8" s="152">
        <f>IF('Plan ventes'!H60=0,0,'Plan ventes'!H62/'Plan ventes'!H60)</f>
        <v/>
      </c>
      <c r="I8" s="152">
        <f>IF('Plan ventes'!I60=0,0,'Plan ventes'!I62/'Plan ventes'!I60)</f>
        <v/>
      </c>
      <c r="J8" s="152">
        <f>IF('Plan ventes'!J60=0,0,'Plan ventes'!J62/'Plan ventes'!J60)</f>
        <v/>
      </c>
      <c r="K8" s="152">
        <f>IF('Plan ventes'!K60=0,0,'Plan ventes'!K62/'Plan ventes'!K60)</f>
        <v/>
      </c>
      <c r="L8" s="152">
        <f>IF('Plan ventes'!L60=0,0,'Plan ventes'!L62/'Plan ventes'!L60)</f>
        <v/>
      </c>
      <c r="M8" s="152">
        <f>IF('Plan ventes'!M60=0,0,'Plan ventes'!M62/'Plan ventes'!M60)</f>
        <v/>
      </c>
      <c r="N8" s="152">
        <f>IF('Plan ventes'!N60=0,0,'Plan ventes'!N62/'Plan ventes'!N60)</f>
        <v/>
      </c>
      <c r="O8" s="152">
        <f>IF('Plan ventes'!O60=0,0,'Plan ventes'!O62/'Plan ventes'!O60)</f>
        <v/>
      </c>
      <c r="P8" s="152">
        <f>IF('Plan ventes'!P60=0,0,'Plan ventes'!P62/'Plan ventes'!P60)</f>
        <v/>
      </c>
      <c r="Q8" s="152">
        <f>IF('Plan ventes'!Q60=0,0,'Plan ventes'!Q62/'Plan ventes'!Q60)</f>
        <v/>
      </c>
      <c r="R8" s="152">
        <f>IF('Plan ventes'!R60=0,0,'Plan ventes'!R62/'Plan ventes'!R60)</f>
        <v/>
      </c>
      <c r="S8" s="152">
        <f>IF('Plan ventes'!S60=0,0,'Plan ventes'!S62/'Plan ventes'!S60)</f>
        <v/>
      </c>
      <c r="T8" s="152">
        <f>IF('Plan ventes'!T60=0,0,'Plan ventes'!T62/'Plan ventes'!T60)</f>
        <v/>
      </c>
      <c r="U8" s="152">
        <f>IF('Plan ventes'!U60=0,0,'Plan ventes'!U62/'Plan ventes'!U60)</f>
        <v/>
      </c>
      <c r="V8" s="152">
        <f>IF('Plan ventes'!V60=0,0,'Plan ventes'!V62/'Plan ventes'!V60)</f>
        <v/>
      </c>
      <c r="W8" s="152">
        <f>IF('Plan ventes'!W60=0,0,'Plan ventes'!W62/'Plan ventes'!W60)</f>
        <v/>
      </c>
      <c r="X8" s="152">
        <f>IF('Plan ventes'!X60=0,0,'Plan ventes'!X62/'Plan ventes'!X60)</f>
        <v/>
      </c>
      <c r="Y8" s="152">
        <f>IF('Plan ventes'!Y60=0,0,'Plan ventes'!Y62/'Plan ventes'!Y60)</f>
        <v/>
      </c>
      <c r="Z8" s="152">
        <f>IF('Plan ventes'!Z60=0,0,'Plan ventes'!Z62/'Plan ventes'!Z60)</f>
        <v/>
      </c>
      <c r="AA8" s="152">
        <f>IF('Plan ventes'!AA60=0,0,'Plan ventes'!AA62/'Plan ventes'!AA60)</f>
        <v/>
      </c>
      <c r="AB8" s="152">
        <f>IF('Plan ventes'!AB60=0,0,'Plan ventes'!AB62/'Plan ventes'!AB60)</f>
        <v/>
      </c>
      <c r="AC8" s="152">
        <f>IF('Plan ventes'!AC60=0,0,'Plan ventes'!AC62/'Plan ventes'!AC60)</f>
        <v/>
      </c>
      <c r="AD8" s="152">
        <f>IF('Plan ventes'!AD60=0,0,'Plan ventes'!AD62/'Plan ventes'!AD60)</f>
        <v/>
      </c>
      <c r="AE8" s="152">
        <f>IF('Plan ventes'!AE60=0,0,'Plan ventes'!AE62/'Plan ventes'!AE60)</f>
        <v/>
      </c>
      <c r="AF8" s="152">
        <f>IF('Plan ventes'!AF60=0,0,'Plan ventes'!AF62/'Plan ventes'!AF60)</f>
        <v/>
      </c>
      <c r="AG8" s="152">
        <f>IF('Plan ventes'!AG60=0,0,'Plan ventes'!AG62/'Plan ventes'!AG60)</f>
        <v/>
      </c>
      <c r="AH8" s="152">
        <f>IF('Plan ventes'!AH60=0,0,'Plan ventes'!AH62/'Plan ventes'!AH60)</f>
        <v/>
      </c>
      <c r="AI8" s="152">
        <f>IF('Plan ventes'!AI60=0,0,'Plan ventes'!AI62/'Plan ventes'!AI60)</f>
        <v/>
      </c>
      <c r="AJ8" s="152">
        <f>IF('Plan ventes'!AJ60=0,0,'Plan ventes'!AJ62/'Plan ventes'!AJ60)</f>
        <v/>
      </c>
      <c r="AK8" s="152">
        <f>IF('Plan ventes'!AK60=0,0,'Plan ventes'!AK62/'Plan ventes'!AK60)</f>
        <v/>
      </c>
    </row>
    <row r="9" s="143">
      <c r="A9" s="149" t="inlineStr">
        <is>
          <t>MRR (abonnements + vidéo)</t>
        </is>
      </c>
      <c r="B9" s="168">
        <f>'Plan ventes'!B61</f>
        <v/>
      </c>
      <c r="C9" s="168">
        <f>'Plan ventes'!C61</f>
        <v/>
      </c>
      <c r="D9" s="168">
        <f>'Plan ventes'!D61</f>
        <v/>
      </c>
      <c r="E9" s="168">
        <f>'Plan ventes'!E61</f>
        <v/>
      </c>
      <c r="F9" s="168">
        <f>'Plan ventes'!F61</f>
        <v/>
      </c>
      <c r="G9" s="168">
        <f>'Plan ventes'!G61</f>
        <v/>
      </c>
      <c r="H9" s="168">
        <f>'Plan ventes'!H61</f>
        <v/>
      </c>
      <c r="I9" s="168">
        <f>'Plan ventes'!I61</f>
        <v/>
      </c>
      <c r="J9" s="168">
        <f>'Plan ventes'!J61</f>
        <v/>
      </c>
      <c r="K9" s="168">
        <f>'Plan ventes'!K61</f>
        <v/>
      </c>
      <c r="L9" s="168">
        <f>'Plan ventes'!L61</f>
        <v/>
      </c>
      <c r="M9" s="168">
        <f>'Plan ventes'!M61</f>
        <v/>
      </c>
      <c r="N9" s="168">
        <f>'Plan ventes'!N61</f>
        <v/>
      </c>
      <c r="O9" s="168">
        <f>'Plan ventes'!O61</f>
        <v/>
      </c>
      <c r="P9" s="168">
        <f>'Plan ventes'!P61</f>
        <v/>
      </c>
      <c r="Q9" s="168">
        <f>'Plan ventes'!Q61</f>
        <v/>
      </c>
      <c r="R9" s="168">
        <f>'Plan ventes'!R61</f>
        <v/>
      </c>
      <c r="S9" s="168">
        <f>'Plan ventes'!S61</f>
        <v/>
      </c>
      <c r="T9" s="168">
        <f>'Plan ventes'!T61</f>
        <v/>
      </c>
      <c r="U9" s="168">
        <f>'Plan ventes'!U61</f>
        <v/>
      </c>
      <c r="V9" s="168">
        <f>'Plan ventes'!V61</f>
        <v/>
      </c>
      <c r="W9" s="168">
        <f>'Plan ventes'!W61</f>
        <v/>
      </c>
      <c r="X9" s="168">
        <f>'Plan ventes'!X61</f>
        <v/>
      </c>
      <c r="Y9" s="168">
        <f>'Plan ventes'!Y61</f>
        <v/>
      </c>
      <c r="Z9" s="168">
        <f>'Plan ventes'!Z61</f>
        <v/>
      </c>
      <c r="AA9" s="168">
        <f>'Plan ventes'!AA61</f>
        <v/>
      </c>
      <c r="AB9" s="168">
        <f>'Plan ventes'!AB61</f>
        <v/>
      </c>
      <c r="AC9" s="168">
        <f>'Plan ventes'!AC61</f>
        <v/>
      </c>
      <c r="AD9" s="168">
        <f>'Plan ventes'!AD61</f>
        <v/>
      </c>
      <c r="AE9" s="168">
        <f>'Plan ventes'!AE61</f>
        <v/>
      </c>
      <c r="AF9" s="168">
        <f>'Plan ventes'!AF61</f>
        <v/>
      </c>
      <c r="AG9" s="168">
        <f>'Plan ventes'!AG61</f>
        <v/>
      </c>
      <c r="AH9" s="168">
        <f>'Plan ventes'!AH61</f>
        <v/>
      </c>
      <c r="AI9" s="168">
        <f>'Plan ventes'!AI61</f>
        <v/>
      </c>
      <c r="AJ9" s="168">
        <f>'Plan ventes'!AJ61</f>
        <v/>
      </c>
      <c r="AK9" s="168">
        <f>'Plan ventes'!AK61</f>
        <v/>
      </c>
    </row>
    <row r="10" s="143">
      <c r="A10" s="149" t="inlineStr">
        <is>
          <t>ARR (MRR × 12)</t>
        </is>
      </c>
      <c r="B10" s="176">
        <f>B9*12</f>
        <v/>
      </c>
      <c r="C10" s="176">
        <f>C9*12</f>
        <v/>
      </c>
      <c r="D10" s="176">
        <f>D9*12</f>
        <v/>
      </c>
      <c r="E10" s="176">
        <f>E9*12</f>
        <v/>
      </c>
      <c r="F10" s="176">
        <f>F9*12</f>
        <v/>
      </c>
      <c r="G10" s="176">
        <f>G9*12</f>
        <v/>
      </c>
      <c r="H10" s="176">
        <f>H9*12</f>
        <v/>
      </c>
      <c r="I10" s="176">
        <f>I9*12</f>
        <v/>
      </c>
      <c r="J10" s="176">
        <f>J9*12</f>
        <v/>
      </c>
      <c r="K10" s="176">
        <f>K9*12</f>
        <v/>
      </c>
      <c r="L10" s="176">
        <f>L9*12</f>
        <v/>
      </c>
      <c r="M10" s="176">
        <f>M9*12</f>
        <v/>
      </c>
      <c r="N10" s="176">
        <f>N9*12</f>
        <v/>
      </c>
      <c r="O10" s="176">
        <f>O9*12</f>
        <v/>
      </c>
      <c r="P10" s="176">
        <f>P9*12</f>
        <v/>
      </c>
      <c r="Q10" s="176">
        <f>Q9*12</f>
        <v/>
      </c>
      <c r="R10" s="176">
        <f>R9*12</f>
        <v/>
      </c>
      <c r="S10" s="176">
        <f>S9*12</f>
        <v/>
      </c>
      <c r="T10" s="176">
        <f>T9*12</f>
        <v/>
      </c>
      <c r="U10" s="176">
        <f>U9*12</f>
        <v/>
      </c>
      <c r="V10" s="176">
        <f>V9*12</f>
        <v/>
      </c>
      <c r="W10" s="176">
        <f>W9*12</f>
        <v/>
      </c>
      <c r="X10" s="176">
        <f>X9*12</f>
        <v/>
      </c>
      <c r="Y10" s="176">
        <f>Y9*12</f>
        <v/>
      </c>
      <c r="Z10" s="176">
        <f>Z9*12</f>
        <v/>
      </c>
      <c r="AA10" s="176">
        <f>AA9*12</f>
        <v/>
      </c>
      <c r="AB10" s="176">
        <f>AB9*12</f>
        <v/>
      </c>
      <c r="AC10" s="176">
        <f>AC9*12</f>
        <v/>
      </c>
      <c r="AD10" s="176">
        <f>AD9*12</f>
        <v/>
      </c>
      <c r="AE10" s="176">
        <f>AE9*12</f>
        <v/>
      </c>
      <c r="AF10" s="176">
        <f>AF9*12</f>
        <v/>
      </c>
      <c r="AG10" s="176">
        <f>AG9*12</f>
        <v/>
      </c>
      <c r="AH10" s="176">
        <f>AH9*12</f>
        <v/>
      </c>
      <c r="AI10" s="176">
        <f>AI9*12</f>
        <v/>
      </c>
      <c r="AJ10" s="176">
        <f>AJ9*12</f>
        <v/>
      </c>
      <c r="AK10" s="176">
        <f>AK9*12</f>
        <v/>
      </c>
    </row>
    <row r="11" s="143">
      <c r="A11" s="149" t="inlineStr">
        <is>
          <t>Croissance CA (MoM)</t>
        </is>
      </c>
      <c r="B11" s="170">
        <f>0</f>
        <v/>
      </c>
      <c r="C11" s="170">
        <f>IF(B7=0,0,C7/B7-1)</f>
        <v/>
      </c>
      <c r="D11" s="170">
        <f>IF(C7=0,0,D7/C7-1)</f>
        <v/>
      </c>
      <c r="E11" s="170">
        <f>IF(D7=0,0,E7/D7-1)</f>
        <v/>
      </c>
      <c r="F11" s="170">
        <f>IF(E7=0,0,F7/E7-1)</f>
        <v/>
      </c>
      <c r="G11" s="170">
        <f>IF(F7=0,0,G7/F7-1)</f>
        <v/>
      </c>
      <c r="H11" s="170">
        <f>IF(G7=0,0,H7/G7-1)</f>
        <v/>
      </c>
      <c r="I11" s="170">
        <f>IF(H7=0,0,I7/H7-1)</f>
        <v/>
      </c>
      <c r="J11" s="170">
        <f>IF(I7=0,0,J7/I7-1)</f>
        <v/>
      </c>
      <c r="K11" s="170">
        <f>IF(J7=0,0,K7/J7-1)</f>
        <v/>
      </c>
      <c r="L11" s="170">
        <f>IF(K7=0,0,L7/K7-1)</f>
        <v/>
      </c>
      <c r="M11" s="170">
        <f>IF(L7=0,0,M7/L7-1)</f>
        <v/>
      </c>
      <c r="N11" s="170">
        <f>IF(M7=0,0,N7/M7-1)</f>
        <v/>
      </c>
      <c r="O11" s="170">
        <f>IF(N7=0,0,O7/N7-1)</f>
        <v/>
      </c>
      <c r="P11" s="170">
        <f>IF(O7=0,0,P7/O7-1)</f>
        <v/>
      </c>
      <c r="Q11" s="170">
        <f>IF(P7=0,0,Q7/P7-1)</f>
        <v/>
      </c>
      <c r="R11" s="170">
        <f>IF(Q7=0,0,R7/Q7-1)</f>
        <v/>
      </c>
      <c r="S11" s="170">
        <f>IF(R7=0,0,S7/R7-1)</f>
        <v/>
      </c>
      <c r="T11" s="170">
        <f>IF(S7=0,0,T7/S7-1)</f>
        <v/>
      </c>
      <c r="U11" s="170">
        <f>IF(T7=0,0,U7/T7-1)</f>
        <v/>
      </c>
      <c r="V11" s="170">
        <f>IF(U7=0,0,V7/U7-1)</f>
        <v/>
      </c>
      <c r="W11" s="170">
        <f>IF(V7=0,0,W7/V7-1)</f>
        <v/>
      </c>
      <c r="X11" s="170">
        <f>IF(W7=0,0,X7/W7-1)</f>
        <v/>
      </c>
      <c r="Y11" s="170">
        <f>IF(X7=0,0,Y7/X7-1)</f>
        <v/>
      </c>
      <c r="Z11" s="170">
        <f>IF(Y7=0,0,Z7/Y7-1)</f>
        <v/>
      </c>
      <c r="AA11" s="170">
        <f>IF(Z7=0,0,AA7/Z7-1)</f>
        <v/>
      </c>
      <c r="AB11" s="170">
        <f>IF(AA7=0,0,AB7/AA7-1)</f>
        <v/>
      </c>
      <c r="AC11" s="170">
        <f>IF(AB7=0,0,AC7/AB7-1)</f>
        <v/>
      </c>
      <c r="AD11" s="170">
        <f>IF(AC7=0,0,AD7/AC7-1)</f>
        <v/>
      </c>
      <c r="AE11" s="170">
        <f>IF(AD7=0,0,AE7/AD7-1)</f>
        <v/>
      </c>
      <c r="AF11" s="170">
        <f>IF(AE7=0,0,AF7/AE7-1)</f>
        <v/>
      </c>
      <c r="AG11" s="170">
        <f>IF(AF7=0,0,AG7/AF7-1)</f>
        <v/>
      </c>
      <c r="AH11" s="170">
        <f>IF(AG7=0,0,AH7/AG7-1)</f>
        <v/>
      </c>
      <c r="AI11" s="170">
        <f>IF(AH7=0,0,AI7/AH7-1)</f>
        <v/>
      </c>
      <c r="AJ11" s="170">
        <f>IF(AI7=0,0,AJ7/AI7-1)</f>
        <v/>
      </c>
      <c r="AK11" s="170">
        <f>IF(AJ7=0,0,AK7/AJ7-1)</f>
        <v/>
      </c>
    </row>
    <row r="12" s="143">
      <c r="A12" s="149" t="inlineStr">
        <is>
          <t>Budget publicité du mois</t>
        </is>
      </c>
      <c r="B12" s="168">
        <f>'Plan ventes'!B6</f>
        <v/>
      </c>
      <c r="C12" s="168">
        <f>'Plan ventes'!C6</f>
        <v/>
      </c>
      <c r="D12" s="168">
        <f>'Plan ventes'!D6</f>
        <v/>
      </c>
      <c r="E12" s="168">
        <f>'Plan ventes'!E6</f>
        <v/>
      </c>
      <c r="F12" s="168">
        <f>'Plan ventes'!F6</f>
        <v/>
      </c>
      <c r="G12" s="168">
        <f>'Plan ventes'!G6</f>
        <v/>
      </c>
      <c r="H12" s="168">
        <f>'Plan ventes'!H6</f>
        <v/>
      </c>
      <c r="I12" s="168">
        <f>'Plan ventes'!I6</f>
        <v/>
      </c>
      <c r="J12" s="168">
        <f>'Plan ventes'!J6</f>
        <v/>
      </c>
      <c r="K12" s="168">
        <f>'Plan ventes'!K6</f>
        <v/>
      </c>
      <c r="L12" s="168">
        <f>'Plan ventes'!L6</f>
        <v/>
      </c>
      <c r="M12" s="168">
        <f>'Plan ventes'!M6</f>
        <v/>
      </c>
      <c r="N12" s="168">
        <f>'Plan ventes'!N6</f>
        <v/>
      </c>
      <c r="O12" s="168">
        <f>'Plan ventes'!O6</f>
        <v/>
      </c>
      <c r="P12" s="168">
        <f>'Plan ventes'!P6</f>
        <v/>
      </c>
      <c r="Q12" s="168">
        <f>'Plan ventes'!Q6</f>
        <v/>
      </c>
      <c r="R12" s="168">
        <f>'Plan ventes'!R6</f>
        <v/>
      </c>
      <c r="S12" s="168">
        <f>'Plan ventes'!S6</f>
        <v/>
      </c>
      <c r="T12" s="168">
        <f>'Plan ventes'!T6</f>
        <v/>
      </c>
      <c r="U12" s="168">
        <f>'Plan ventes'!U6</f>
        <v/>
      </c>
      <c r="V12" s="168">
        <f>'Plan ventes'!V6</f>
        <v/>
      </c>
      <c r="W12" s="168">
        <f>'Plan ventes'!W6</f>
        <v/>
      </c>
      <c r="X12" s="168">
        <f>'Plan ventes'!X6</f>
        <v/>
      </c>
      <c r="Y12" s="168">
        <f>'Plan ventes'!Y6</f>
        <v/>
      </c>
      <c r="Z12" s="168">
        <f>'Plan ventes'!Z6</f>
        <v/>
      </c>
      <c r="AA12" s="168">
        <f>'Plan ventes'!AA6</f>
        <v/>
      </c>
      <c r="AB12" s="168">
        <f>'Plan ventes'!AB6</f>
        <v/>
      </c>
      <c r="AC12" s="168">
        <f>'Plan ventes'!AC6</f>
        <v/>
      </c>
      <c r="AD12" s="168">
        <f>'Plan ventes'!AD6</f>
        <v/>
      </c>
      <c r="AE12" s="168">
        <f>'Plan ventes'!AE6</f>
        <v/>
      </c>
      <c r="AF12" s="168">
        <f>'Plan ventes'!AF6</f>
        <v/>
      </c>
      <c r="AG12" s="168">
        <f>'Plan ventes'!AG6</f>
        <v/>
      </c>
      <c r="AH12" s="168">
        <f>'Plan ventes'!AH6</f>
        <v/>
      </c>
      <c r="AI12" s="168">
        <f>'Plan ventes'!AI6</f>
        <v/>
      </c>
      <c r="AJ12" s="168">
        <f>'Plan ventes'!AJ6</f>
        <v/>
      </c>
      <c r="AK12" s="168">
        <f>'Plan ventes'!AK6</f>
        <v/>
      </c>
    </row>
    <row r="13" s="143">
      <c r="A13" s="149" t="inlineStr">
        <is>
          <t>Multiplicateur de croissance (acquisition)</t>
        </is>
      </c>
      <c r="B13" s="154">
        <f>'Plan ventes'!B7</f>
        <v/>
      </c>
      <c r="C13" s="154">
        <f>'Plan ventes'!C7</f>
        <v/>
      </c>
      <c r="D13" s="154">
        <f>'Plan ventes'!D7</f>
        <v/>
      </c>
      <c r="E13" s="154">
        <f>'Plan ventes'!E7</f>
        <v/>
      </c>
      <c r="F13" s="154">
        <f>'Plan ventes'!F7</f>
        <v/>
      </c>
      <c r="G13" s="154">
        <f>'Plan ventes'!G7</f>
        <v/>
      </c>
      <c r="H13" s="154">
        <f>'Plan ventes'!H7</f>
        <v/>
      </c>
      <c r="I13" s="154">
        <f>'Plan ventes'!I7</f>
        <v/>
      </c>
      <c r="J13" s="154">
        <f>'Plan ventes'!J7</f>
        <v/>
      </c>
      <c r="K13" s="154">
        <f>'Plan ventes'!K7</f>
        <v/>
      </c>
      <c r="L13" s="154">
        <f>'Plan ventes'!L7</f>
        <v/>
      </c>
      <c r="M13" s="154">
        <f>'Plan ventes'!M7</f>
        <v/>
      </c>
      <c r="N13" s="154">
        <f>'Plan ventes'!N7</f>
        <v/>
      </c>
      <c r="O13" s="154">
        <f>'Plan ventes'!O7</f>
        <v/>
      </c>
      <c r="P13" s="154">
        <f>'Plan ventes'!P7</f>
        <v/>
      </c>
      <c r="Q13" s="154">
        <f>'Plan ventes'!Q7</f>
        <v/>
      </c>
      <c r="R13" s="154">
        <f>'Plan ventes'!R7</f>
        <v/>
      </c>
      <c r="S13" s="154">
        <f>'Plan ventes'!S7</f>
        <v/>
      </c>
      <c r="T13" s="154">
        <f>'Plan ventes'!T7</f>
        <v/>
      </c>
      <c r="U13" s="154">
        <f>'Plan ventes'!U7</f>
        <v/>
      </c>
      <c r="V13" s="154">
        <f>'Plan ventes'!V7</f>
        <v/>
      </c>
      <c r="W13" s="154">
        <f>'Plan ventes'!W7</f>
        <v/>
      </c>
      <c r="X13" s="154">
        <f>'Plan ventes'!X7</f>
        <v/>
      </c>
      <c r="Y13" s="154">
        <f>'Plan ventes'!Y7</f>
        <v/>
      </c>
      <c r="Z13" s="154">
        <f>'Plan ventes'!Z7</f>
        <v/>
      </c>
      <c r="AA13" s="154">
        <f>'Plan ventes'!AA7</f>
        <v/>
      </c>
      <c r="AB13" s="154">
        <f>'Plan ventes'!AB7</f>
        <v/>
      </c>
      <c r="AC13" s="154">
        <f>'Plan ventes'!AC7</f>
        <v/>
      </c>
      <c r="AD13" s="154">
        <f>'Plan ventes'!AD7</f>
        <v/>
      </c>
      <c r="AE13" s="154">
        <f>'Plan ventes'!AE7</f>
        <v/>
      </c>
      <c r="AF13" s="154">
        <f>'Plan ventes'!AF7</f>
        <v/>
      </c>
      <c r="AG13" s="154">
        <f>'Plan ventes'!AG7</f>
        <v/>
      </c>
      <c r="AH13" s="154">
        <f>'Plan ventes'!AH7</f>
        <v/>
      </c>
      <c r="AI13" s="154">
        <f>'Plan ventes'!AI7</f>
        <v/>
      </c>
      <c r="AJ13" s="154">
        <f>'Plan ventes'!AJ7</f>
        <v/>
      </c>
      <c r="AK13" s="154">
        <f>'Plan ventes'!AK7</f>
        <v/>
      </c>
    </row>
    <row r="14" s="143">
      <c r="A14" s="149" t="n"/>
      <c r="B14" s="149" t="n"/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149" t="n"/>
      <c r="O14" s="149" t="n"/>
      <c r="P14" s="149" t="n"/>
      <c r="Q14" s="149" t="n"/>
      <c r="R14" s="149" t="n"/>
      <c r="S14" s="149" t="n"/>
      <c r="T14" s="149" t="n"/>
      <c r="U14" s="149" t="n"/>
      <c r="V14" s="149" t="n"/>
      <c r="W14" s="149" t="n"/>
      <c r="X14" s="149" t="n"/>
      <c r="Y14" s="149" t="n"/>
      <c r="Z14" s="149" t="n"/>
      <c r="AA14" s="149" t="n"/>
      <c r="AB14" s="149" t="n"/>
      <c r="AC14" s="149" t="n"/>
      <c r="AD14" s="149" t="n"/>
      <c r="AE14" s="149" t="n"/>
      <c r="AF14" s="149" t="n"/>
      <c r="AG14" s="149" t="n"/>
      <c r="AH14" s="149" t="n"/>
      <c r="AI14" s="149" t="n"/>
      <c r="AJ14" s="149" t="n"/>
      <c r="AK14" s="149" t="n"/>
    </row>
    <row r="15" ht="18" customHeight="1" s="143">
      <c r="A15" s="150" t="inlineStr">
        <is>
          <t>OFFRE &amp; LIQUIDITÉ (capacité contraignante)</t>
        </is>
      </c>
      <c r="B15" s="150" t="n"/>
      <c r="C15" s="150" t="n"/>
      <c r="D15" s="150" t="n"/>
      <c r="E15" s="150" t="n"/>
      <c r="F15" s="150" t="n"/>
      <c r="G15" s="150" t="n"/>
      <c r="H15" s="150" t="n"/>
      <c r="I15" s="150" t="n"/>
      <c r="J15" s="150" t="n"/>
      <c r="K15" s="150" t="n"/>
      <c r="L15" s="150" t="n"/>
      <c r="M15" s="150" t="n"/>
      <c r="N15" s="150" t="n"/>
      <c r="O15" s="150" t="n"/>
      <c r="P15" s="150" t="n"/>
      <c r="Q15" s="150" t="n"/>
      <c r="R15" s="150" t="n"/>
      <c r="S15" s="150" t="n"/>
      <c r="T15" s="150" t="n"/>
      <c r="U15" s="150" t="n"/>
      <c r="V15" s="150" t="n"/>
      <c r="W15" s="150" t="n"/>
      <c r="X15" s="150" t="n"/>
      <c r="Y15" s="150" t="n"/>
      <c r="Z15" s="150" t="n"/>
      <c r="AA15" s="150" t="n"/>
      <c r="AB15" s="150" t="n"/>
      <c r="AC15" s="150" t="n"/>
      <c r="AD15" s="150" t="n"/>
      <c r="AE15" s="150" t="n"/>
      <c r="AF15" s="150" t="n"/>
      <c r="AG15" s="150" t="n"/>
      <c r="AH15" s="150" t="n"/>
      <c r="AI15" s="150" t="n"/>
      <c r="AJ15" s="150" t="n"/>
      <c r="AK15" s="150" t="n"/>
    </row>
    <row r="16" s="143">
      <c r="A16" s="149" t="inlineStr">
        <is>
          <t>Prestataires Ampio actifs</t>
        </is>
      </c>
      <c r="B16" s="155">
        <f>'Plan ventes'!B13</f>
        <v/>
      </c>
      <c r="C16" s="155">
        <f>'Plan ventes'!C13</f>
        <v/>
      </c>
      <c r="D16" s="155">
        <f>'Plan ventes'!D13</f>
        <v/>
      </c>
      <c r="E16" s="155">
        <f>'Plan ventes'!E13</f>
        <v/>
      </c>
      <c r="F16" s="155">
        <f>'Plan ventes'!F13</f>
        <v/>
      </c>
      <c r="G16" s="155">
        <f>'Plan ventes'!G13</f>
        <v/>
      </c>
      <c r="H16" s="155">
        <f>'Plan ventes'!H13</f>
        <v/>
      </c>
      <c r="I16" s="155">
        <f>'Plan ventes'!I13</f>
        <v/>
      </c>
      <c r="J16" s="155">
        <f>'Plan ventes'!J13</f>
        <v/>
      </c>
      <c r="K16" s="155">
        <f>'Plan ventes'!K13</f>
        <v/>
      </c>
      <c r="L16" s="155">
        <f>'Plan ventes'!L13</f>
        <v/>
      </c>
      <c r="M16" s="155">
        <f>'Plan ventes'!M13</f>
        <v/>
      </c>
      <c r="N16" s="155">
        <f>'Plan ventes'!N13</f>
        <v/>
      </c>
      <c r="O16" s="155">
        <f>'Plan ventes'!O13</f>
        <v/>
      </c>
      <c r="P16" s="155">
        <f>'Plan ventes'!P13</f>
        <v/>
      </c>
      <c r="Q16" s="155">
        <f>'Plan ventes'!Q13</f>
        <v/>
      </c>
      <c r="R16" s="155">
        <f>'Plan ventes'!R13</f>
        <v/>
      </c>
      <c r="S16" s="155">
        <f>'Plan ventes'!S13</f>
        <v/>
      </c>
      <c r="T16" s="155">
        <f>'Plan ventes'!T13</f>
        <v/>
      </c>
      <c r="U16" s="155">
        <f>'Plan ventes'!U13</f>
        <v/>
      </c>
      <c r="V16" s="155">
        <f>'Plan ventes'!V13</f>
        <v/>
      </c>
      <c r="W16" s="155">
        <f>'Plan ventes'!W13</f>
        <v/>
      </c>
      <c r="X16" s="155">
        <f>'Plan ventes'!X13</f>
        <v/>
      </c>
      <c r="Y16" s="155">
        <f>'Plan ventes'!Y13</f>
        <v/>
      </c>
      <c r="Z16" s="155">
        <f>'Plan ventes'!Z13</f>
        <v/>
      </c>
      <c r="AA16" s="155">
        <f>'Plan ventes'!AA13</f>
        <v/>
      </c>
      <c r="AB16" s="155">
        <f>'Plan ventes'!AB13</f>
        <v/>
      </c>
      <c r="AC16" s="155">
        <f>'Plan ventes'!AC13</f>
        <v/>
      </c>
      <c r="AD16" s="155">
        <f>'Plan ventes'!AD13</f>
        <v/>
      </c>
      <c r="AE16" s="155">
        <f>'Plan ventes'!AE13</f>
        <v/>
      </c>
      <c r="AF16" s="155">
        <f>'Plan ventes'!AF13</f>
        <v/>
      </c>
      <c r="AG16" s="155">
        <f>'Plan ventes'!AG13</f>
        <v/>
      </c>
      <c r="AH16" s="155">
        <f>'Plan ventes'!AH13</f>
        <v/>
      </c>
      <c r="AI16" s="155">
        <f>'Plan ventes'!AI13</f>
        <v/>
      </c>
      <c r="AJ16" s="155">
        <f>'Plan ventes'!AJ13</f>
        <v/>
      </c>
      <c r="AK16" s="155">
        <f>'Plan ventes'!AK13</f>
        <v/>
      </c>
    </row>
    <row r="17" s="143">
      <c r="A17" s="149" t="inlineStr">
        <is>
          <t>Utilisation de la capacité Ampio (alerte si ≥ fill rate max)</t>
        </is>
      </c>
      <c r="B17" s="152">
        <f>'Plan ventes'!B21</f>
        <v/>
      </c>
      <c r="C17" s="152">
        <f>'Plan ventes'!C21</f>
        <v/>
      </c>
      <c r="D17" s="152">
        <f>'Plan ventes'!D21</f>
        <v/>
      </c>
      <c r="E17" s="152">
        <f>'Plan ventes'!E21</f>
        <v/>
      </c>
      <c r="F17" s="152">
        <f>'Plan ventes'!F21</f>
        <v/>
      </c>
      <c r="G17" s="152">
        <f>'Plan ventes'!G21</f>
        <v/>
      </c>
      <c r="H17" s="152">
        <f>'Plan ventes'!H21</f>
        <v/>
      </c>
      <c r="I17" s="152">
        <f>'Plan ventes'!I21</f>
        <v/>
      </c>
      <c r="J17" s="152">
        <f>'Plan ventes'!J21</f>
        <v/>
      </c>
      <c r="K17" s="152">
        <f>'Plan ventes'!K21</f>
        <v/>
      </c>
      <c r="L17" s="152">
        <f>'Plan ventes'!L21</f>
        <v/>
      </c>
      <c r="M17" s="152">
        <f>'Plan ventes'!M21</f>
        <v/>
      </c>
      <c r="N17" s="152">
        <f>'Plan ventes'!N21</f>
        <v/>
      </c>
      <c r="O17" s="152">
        <f>'Plan ventes'!O21</f>
        <v/>
      </c>
      <c r="P17" s="152">
        <f>'Plan ventes'!P21</f>
        <v/>
      </c>
      <c r="Q17" s="152">
        <f>'Plan ventes'!Q21</f>
        <v/>
      </c>
      <c r="R17" s="152">
        <f>'Plan ventes'!R21</f>
        <v/>
      </c>
      <c r="S17" s="152">
        <f>'Plan ventes'!S21</f>
        <v/>
      </c>
      <c r="T17" s="152">
        <f>'Plan ventes'!T21</f>
        <v/>
      </c>
      <c r="U17" s="152">
        <f>'Plan ventes'!U21</f>
        <v/>
      </c>
      <c r="V17" s="152">
        <f>'Plan ventes'!V21</f>
        <v/>
      </c>
      <c r="W17" s="152">
        <f>'Plan ventes'!W21</f>
        <v/>
      </c>
      <c r="X17" s="152">
        <f>'Plan ventes'!X21</f>
        <v/>
      </c>
      <c r="Y17" s="152">
        <f>'Plan ventes'!Y21</f>
        <v/>
      </c>
      <c r="Z17" s="152">
        <f>'Plan ventes'!Z21</f>
        <v/>
      </c>
      <c r="AA17" s="152">
        <f>'Plan ventes'!AA21</f>
        <v/>
      </c>
      <c r="AB17" s="152">
        <f>'Plan ventes'!AB21</f>
        <v/>
      </c>
      <c r="AC17" s="152">
        <f>'Plan ventes'!AC21</f>
        <v/>
      </c>
      <c r="AD17" s="152">
        <f>'Plan ventes'!AD21</f>
        <v/>
      </c>
      <c r="AE17" s="152">
        <f>'Plan ventes'!AE21</f>
        <v/>
      </c>
      <c r="AF17" s="152">
        <f>'Plan ventes'!AF21</f>
        <v/>
      </c>
      <c r="AG17" s="152">
        <f>'Plan ventes'!AG21</f>
        <v/>
      </c>
      <c r="AH17" s="152">
        <f>'Plan ventes'!AH21</f>
        <v/>
      </c>
      <c r="AI17" s="152">
        <f>'Plan ventes'!AI21</f>
        <v/>
      </c>
      <c r="AJ17" s="152">
        <f>'Plan ventes'!AJ21</f>
        <v/>
      </c>
      <c r="AK17" s="152">
        <f>'Plan ventes'!AK21</f>
        <v/>
      </c>
    </row>
    <row r="18" s="143">
      <c r="A18" s="149" t="inlineStr">
        <is>
          <t>Prestations non servies (pénurie d'offre)</t>
        </is>
      </c>
      <c r="B18" s="155">
        <f>'Plan ventes'!B20</f>
        <v/>
      </c>
      <c r="C18" s="155">
        <f>'Plan ventes'!C20</f>
        <v/>
      </c>
      <c r="D18" s="155">
        <f>'Plan ventes'!D20</f>
        <v/>
      </c>
      <c r="E18" s="155">
        <f>'Plan ventes'!E20</f>
        <v/>
      </c>
      <c r="F18" s="155">
        <f>'Plan ventes'!F20</f>
        <v/>
      </c>
      <c r="G18" s="155">
        <f>'Plan ventes'!G20</f>
        <v/>
      </c>
      <c r="H18" s="155">
        <f>'Plan ventes'!H20</f>
        <v/>
      </c>
      <c r="I18" s="155">
        <f>'Plan ventes'!I20</f>
        <v/>
      </c>
      <c r="J18" s="155">
        <f>'Plan ventes'!J20</f>
        <v/>
      </c>
      <c r="K18" s="155">
        <f>'Plan ventes'!K20</f>
        <v/>
      </c>
      <c r="L18" s="155">
        <f>'Plan ventes'!L20</f>
        <v/>
      </c>
      <c r="M18" s="155">
        <f>'Plan ventes'!M20</f>
        <v/>
      </c>
      <c r="N18" s="155">
        <f>'Plan ventes'!N20</f>
        <v/>
      </c>
      <c r="O18" s="155">
        <f>'Plan ventes'!O20</f>
        <v/>
      </c>
      <c r="P18" s="155">
        <f>'Plan ventes'!P20</f>
        <v/>
      </c>
      <c r="Q18" s="155">
        <f>'Plan ventes'!Q20</f>
        <v/>
      </c>
      <c r="R18" s="155">
        <f>'Plan ventes'!R20</f>
        <v/>
      </c>
      <c r="S18" s="155">
        <f>'Plan ventes'!S20</f>
        <v/>
      </c>
      <c r="T18" s="155">
        <f>'Plan ventes'!T20</f>
        <v/>
      </c>
      <c r="U18" s="155">
        <f>'Plan ventes'!U20</f>
        <v/>
      </c>
      <c r="V18" s="155">
        <f>'Plan ventes'!V20</f>
        <v/>
      </c>
      <c r="W18" s="155">
        <f>'Plan ventes'!W20</f>
        <v/>
      </c>
      <c r="X18" s="155">
        <f>'Plan ventes'!X20</f>
        <v/>
      </c>
      <c r="Y18" s="155">
        <f>'Plan ventes'!Y20</f>
        <v/>
      </c>
      <c r="Z18" s="155">
        <f>'Plan ventes'!Z20</f>
        <v/>
      </c>
      <c r="AA18" s="155">
        <f>'Plan ventes'!AA20</f>
        <v/>
      </c>
      <c r="AB18" s="155">
        <f>'Plan ventes'!AB20</f>
        <v/>
      </c>
      <c r="AC18" s="155">
        <f>'Plan ventes'!AC20</f>
        <v/>
      </c>
      <c r="AD18" s="155">
        <f>'Plan ventes'!AD20</f>
        <v/>
      </c>
      <c r="AE18" s="155">
        <f>'Plan ventes'!AE20</f>
        <v/>
      </c>
      <c r="AF18" s="155">
        <f>'Plan ventes'!AF20</f>
        <v/>
      </c>
      <c r="AG18" s="155">
        <f>'Plan ventes'!AG20</f>
        <v/>
      </c>
      <c r="AH18" s="155">
        <f>'Plan ventes'!AH20</f>
        <v/>
      </c>
      <c r="AI18" s="155">
        <f>'Plan ventes'!AI20</f>
        <v/>
      </c>
      <c r="AJ18" s="155">
        <f>'Plan ventes'!AJ20</f>
        <v/>
      </c>
      <c r="AK18" s="155">
        <f>'Plan ventes'!AK20</f>
        <v/>
      </c>
    </row>
    <row r="19" s="143">
      <c r="A19" s="149" t="inlineStr">
        <is>
          <t>GMV perdu faute d'offre (tous segments)</t>
        </is>
      </c>
      <c r="B19" s="168">
        <f>'Plan ventes'!B67</f>
        <v/>
      </c>
      <c r="C19" s="168">
        <f>'Plan ventes'!C67</f>
        <v/>
      </c>
      <c r="D19" s="168">
        <f>'Plan ventes'!D67</f>
        <v/>
      </c>
      <c r="E19" s="168">
        <f>'Plan ventes'!E67</f>
        <v/>
      </c>
      <c r="F19" s="168">
        <f>'Plan ventes'!F67</f>
        <v/>
      </c>
      <c r="G19" s="168">
        <f>'Plan ventes'!G67</f>
        <v/>
      </c>
      <c r="H19" s="168">
        <f>'Plan ventes'!H67</f>
        <v/>
      </c>
      <c r="I19" s="168">
        <f>'Plan ventes'!I67</f>
        <v/>
      </c>
      <c r="J19" s="168">
        <f>'Plan ventes'!J67</f>
        <v/>
      </c>
      <c r="K19" s="168">
        <f>'Plan ventes'!K67</f>
        <v/>
      </c>
      <c r="L19" s="168">
        <f>'Plan ventes'!L67</f>
        <v/>
      </c>
      <c r="M19" s="168">
        <f>'Plan ventes'!M67</f>
        <v/>
      </c>
      <c r="N19" s="168">
        <f>'Plan ventes'!N67</f>
        <v/>
      </c>
      <c r="O19" s="168">
        <f>'Plan ventes'!O67</f>
        <v/>
      </c>
      <c r="P19" s="168">
        <f>'Plan ventes'!P67</f>
        <v/>
      </c>
      <c r="Q19" s="168">
        <f>'Plan ventes'!Q67</f>
        <v/>
      </c>
      <c r="R19" s="168">
        <f>'Plan ventes'!R67</f>
        <v/>
      </c>
      <c r="S19" s="168">
        <f>'Plan ventes'!S67</f>
        <v/>
      </c>
      <c r="T19" s="168">
        <f>'Plan ventes'!T67</f>
        <v/>
      </c>
      <c r="U19" s="168">
        <f>'Plan ventes'!U67</f>
        <v/>
      </c>
      <c r="V19" s="168">
        <f>'Plan ventes'!V67</f>
        <v/>
      </c>
      <c r="W19" s="168">
        <f>'Plan ventes'!W67</f>
        <v/>
      </c>
      <c r="X19" s="168">
        <f>'Plan ventes'!X67</f>
        <v/>
      </c>
      <c r="Y19" s="168">
        <f>'Plan ventes'!Y67</f>
        <v/>
      </c>
      <c r="Z19" s="168">
        <f>'Plan ventes'!Z67</f>
        <v/>
      </c>
      <c r="AA19" s="168">
        <f>'Plan ventes'!AA67</f>
        <v/>
      </c>
      <c r="AB19" s="168">
        <f>'Plan ventes'!AB67</f>
        <v/>
      </c>
      <c r="AC19" s="168">
        <f>'Plan ventes'!AC67</f>
        <v/>
      </c>
      <c r="AD19" s="168">
        <f>'Plan ventes'!AD67</f>
        <v/>
      </c>
      <c r="AE19" s="168">
        <f>'Plan ventes'!AE67</f>
        <v/>
      </c>
      <c r="AF19" s="168">
        <f>'Plan ventes'!AF67</f>
        <v/>
      </c>
      <c r="AG19" s="168">
        <f>'Plan ventes'!AG67</f>
        <v/>
      </c>
      <c r="AH19" s="168">
        <f>'Plan ventes'!AH67</f>
        <v/>
      </c>
      <c r="AI19" s="168">
        <f>'Plan ventes'!AI67</f>
        <v/>
      </c>
      <c r="AJ19" s="168">
        <f>'Plan ventes'!AJ67</f>
        <v/>
      </c>
      <c r="AK19" s="168">
        <f>'Plan ventes'!AK67</f>
        <v/>
      </c>
    </row>
    <row r="20" s="143">
      <c r="A20" s="149" t="inlineStr">
        <is>
          <t>Loueurs pro actifs</t>
        </is>
      </c>
      <c r="B20" s="155">
        <f>'Plan ventes'!B36</f>
        <v/>
      </c>
      <c r="C20" s="155">
        <f>'Plan ventes'!C36</f>
        <v/>
      </c>
      <c r="D20" s="155">
        <f>'Plan ventes'!D36</f>
        <v/>
      </c>
      <c r="E20" s="155">
        <f>'Plan ventes'!E36</f>
        <v/>
      </c>
      <c r="F20" s="155">
        <f>'Plan ventes'!F36</f>
        <v/>
      </c>
      <c r="G20" s="155">
        <f>'Plan ventes'!G36</f>
        <v/>
      </c>
      <c r="H20" s="155">
        <f>'Plan ventes'!H36</f>
        <v/>
      </c>
      <c r="I20" s="155">
        <f>'Plan ventes'!I36</f>
        <v/>
      </c>
      <c r="J20" s="155">
        <f>'Plan ventes'!J36</f>
        <v/>
      </c>
      <c r="K20" s="155">
        <f>'Plan ventes'!K36</f>
        <v/>
      </c>
      <c r="L20" s="155">
        <f>'Plan ventes'!L36</f>
        <v/>
      </c>
      <c r="M20" s="155">
        <f>'Plan ventes'!M36</f>
        <v/>
      </c>
      <c r="N20" s="155">
        <f>'Plan ventes'!N36</f>
        <v/>
      </c>
      <c r="O20" s="155">
        <f>'Plan ventes'!O36</f>
        <v/>
      </c>
      <c r="P20" s="155">
        <f>'Plan ventes'!P36</f>
        <v/>
      </c>
      <c r="Q20" s="155">
        <f>'Plan ventes'!Q36</f>
        <v/>
      </c>
      <c r="R20" s="155">
        <f>'Plan ventes'!R36</f>
        <v/>
      </c>
      <c r="S20" s="155">
        <f>'Plan ventes'!S36</f>
        <v/>
      </c>
      <c r="T20" s="155">
        <f>'Plan ventes'!T36</f>
        <v/>
      </c>
      <c r="U20" s="155">
        <f>'Plan ventes'!U36</f>
        <v/>
      </c>
      <c r="V20" s="155">
        <f>'Plan ventes'!V36</f>
        <v/>
      </c>
      <c r="W20" s="155">
        <f>'Plan ventes'!W36</f>
        <v/>
      </c>
      <c r="X20" s="155">
        <f>'Plan ventes'!X36</f>
        <v/>
      </c>
      <c r="Y20" s="155">
        <f>'Plan ventes'!Y36</f>
        <v/>
      </c>
      <c r="Z20" s="155">
        <f>'Plan ventes'!Z36</f>
        <v/>
      </c>
      <c r="AA20" s="155">
        <f>'Plan ventes'!AA36</f>
        <v/>
      </c>
      <c r="AB20" s="155">
        <f>'Plan ventes'!AB36</f>
        <v/>
      </c>
      <c r="AC20" s="155">
        <f>'Plan ventes'!AC36</f>
        <v/>
      </c>
      <c r="AD20" s="155">
        <f>'Plan ventes'!AD36</f>
        <v/>
      </c>
      <c r="AE20" s="155">
        <f>'Plan ventes'!AE36</f>
        <v/>
      </c>
      <c r="AF20" s="155">
        <f>'Plan ventes'!AF36</f>
        <v/>
      </c>
      <c r="AG20" s="155">
        <f>'Plan ventes'!AG36</f>
        <v/>
      </c>
      <c r="AH20" s="155">
        <f>'Plan ventes'!AH36</f>
        <v/>
      </c>
      <c r="AI20" s="155">
        <f>'Plan ventes'!AI36</f>
        <v/>
      </c>
      <c r="AJ20" s="155">
        <f>'Plan ventes'!AJ36</f>
        <v/>
      </c>
      <c r="AK20" s="155">
        <f>'Plan ventes'!AK36</f>
        <v/>
      </c>
    </row>
    <row r="21" s="143">
      <c r="A21" s="149" t="inlineStr">
        <is>
          <t>Utilisation capacité locations pro</t>
        </is>
      </c>
      <c r="B21" s="152">
        <f>'Plan ventes'!B41</f>
        <v/>
      </c>
      <c r="C21" s="152">
        <f>'Plan ventes'!C41</f>
        <v/>
      </c>
      <c r="D21" s="152">
        <f>'Plan ventes'!D41</f>
        <v/>
      </c>
      <c r="E21" s="152">
        <f>'Plan ventes'!E41</f>
        <v/>
      </c>
      <c r="F21" s="152">
        <f>'Plan ventes'!F41</f>
        <v/>
      </c>
      <c r="G21" s="152">
        <f>'Plan ventes'!G41</f>
        <v/>
      </c>
      <c r="H21" s="152">
        <f>'Plan ventes'!H41</f>
        <v/>
      </c>
      <c r="I21" s="152">
        <f>'Plan ventes'!I41</f>
        <v/>
      </c>
      <c r="J21" s="152">
        <f>'Plan ventes'!J41</f>
        <v/>
      </c>
      <c r="K21" s="152">
        <f>'Plan ventes'!K41</f>
        <v/>
      </c>
      <c r="L21" s="152">
        <f>'Plan ventes'!L41</f>
        <v/>
      </c>
      <c r="M21" s="152">
        <f>'Plan ventes'!M41</f>
        <v/>
      </c>
      <c r="N21" s="152">
        <f>'Plan ventes'!N41</f>
        <v/>
      </c>
      <c r="O21" s="152">
        <f>'Plan ventes'!O41</f>
        <v/>
      </c>
      <c r="P21" s="152">
        <f>'Plan ventes'!P41</f>
        <v/>
      </c>
      <c r="Q21" s="152">
        <f>'Plan ventes'!Q41</f>
        <v/>
      </c>
      <c r="R21" s="152">
        <f>'Plan ventes'!R41</f>
        <v/>
      </c>
      <c r="S21" s="152">
        <f>'Plan ventes'!S41</f>
        <v/>
      </c>
      <c r="T21" s="152">
        <f>'Plan ventes'!T41</f>
        <v/>
      </c>
      <c r="U21" s="152">
        <f>'Plan ventes'!U41</f>
        <v/>
      </c>
      <c r="V21" s="152">
        <f>'Plan ventes'!V41</f>
        <v/>
      </c>
      <c r="W21" s="152">
        <f>'Plan ventes'!W41</f>
        <v/>
      </c>
      <c r="X21" s="152">
        <f>'Plan ventes'!X41</f>
        <v/>
      </c>
      <c r="Y21" s="152">
        <f>'Plan ventes'!Y41</f>
        <v/>
      </c>
      <c r="Z21" s="152">
        <f>'Plan ventes'!Z41</f>
        <v/>
      </c>
      <c r="AA21" s="152">
        <f>'Plan ventes'!AA41</f>
        <v/>
      </c>
      <c r="AB21" s="152">
        <f>'Plan ventes'!AB41</f>
        <v/>
      </c>
      <c r="AC21" s="152">
        <f>'Plan ventes'!AC41</f>
        <v/>
      </c>
      <c r="AD21" s="152">
        <f>'Plan ventes'!AD41</f>
        <v/>
      </c>
      <c r="AE21" s="152">
        <f>'Plan ventes'!AE41</f>
        <v/>
      </c>
      <c r="AF21" s="152">
        <f>'Plan ventes'!AF41</f>
        <v/>
      </c>
      <c r="AG21" s="152">
        <f>'Plan ventes'!AG41</f>
        <v/>
      </c>
      <c r="AH21" s="152">
        <f>'Plan ventes'!AH41</f>
        <v/>
      </c>
      <c r="AI21" s="152">
        <f>'Plan ventes'!AI41</f>
        <v/>
      </c>
      <c r="AJ21" s="152">
        <f>'Plan ventes'!AJ41</f>
        <v/>
      </c>
      <c r="AK21" s="152">
        <f>'Plan ventes'!AK41</f>
        <v/>
      </c>
    </row>
    <row r="22" s="143">
      <c r="A22" s="149" t="inlineStr">
        <is>
          <t>Annonces C2C actives</t>
        </is>
      </c>
      <c r="B22" s="155">
        <f>'Plan ventes'!B49</f>
        <v/>
      </c>
      <c r="C22" s="155">
        <f>'Plan ventes'!C49</f>
        <v/>
      </c>
      <c r="D22" s="155">
        <f>'Plan ventes'!D49</f>
        <v/>
      </c>
      <c r="E22" s="155">
        <f>'Plan ventes'!E49</f>
        <v/>
      </c>
      <c r="F22" s="155">
        <f>'Plan ventes'!F49</f>
        <v/>
      </c>
      <c r="G22" s="155">
        <f>'Plan ventes'!G49</f>
        <v/>
      </c>
      <c r="H22" s="155">
        <f>'Plan ventes'!H49</f>
        <v/>
      </c>
      <c r="I22" s="155">
        <f>'Plan ventes'!I49</f>
        <v/>
      </c>
      <c r="J22" s="155">
        <f>'Plan ventes'!J49</f>
        <v/>
      </c>
      <c r="K22" s="155">
        <f>'Plan ventes'!K49</f>
        <v/>
      </c>
      <c r="L22" s="155">
        <f>'Plan ventes'!L49</f>
        <v/>
      </c>
      <c r="M22" s="155">
        <f>'Plan ventes'!M49</f>
        <v/>
      </c>
      <c r="N22" s="155">
        <f>'Plan ventes'!N49</f>
        <v/>
      </c>
      <c r="O22" s="155">
        <f>'Plan ventes'!O49</f>
        <v/>
      </c>
      <c r="P22" s="155">
        <f>'Plan ventes'!P49</f>
        <v/>
      </c>
      <c r="Q22" s="155">
        <f>'Plan ventes'!Q49</f>
        <v/>
      </c>
      <c r="R22" s="155">
        <f>'Plan ventes'!R49</f>
        <v/>
      </c>
      <c r="S22" s="155">
        <f>'Plan ventes'!S49</f>
        <v/>
      </c>
      <c r="T22" s="155">
        <f>'Plan ventes'!T49</f>
        <v/>
      </c>
      <c r="U22" s="155">
        <f>'Plan ventes'!U49</f>
        <v/>
      </c>
      <c r="V22" s="155">
        <f>'Plan ventes'!V49</f>
        <v/>
      </c>
      <c r="W22" s="155">
        <f>'Plan ventes'!W49</f>
        <v/>
      </c>
      <c r="X22" s="155">
        <f>'Plan ventes'!X49</f>
        <v/>
      </c>
      <c r="Y22" s="155">
        <f>'Plan ventes'!Y49</f>
        <v/>
      </c>
      <c r="Z22" s="155">
        <f>'Plan ventes'!Z49</f>
        <v/>
      </c>
      <c r="AA22" s="155">
        <f>'Plan ventes'!AA49</f>
        <v/>
      </c>
      <c r="AB22" s="155">
        <f>'Plan ventes'!AB49</f>
        <v/>
      </c>
      <c r="AC22" s="155">
        <f>'Plan ventes'!AC49</f>
        <v/>
      </c>
      <c r="AD22" s="155">
        <f>'Plan ventes'!AD49</f>
        <v/>
      </c>
      <c r="AE22" s="155">
        <f>'Plan ventes'!AE49</f>
        <v/>
      </c>
      <c r="AF22" s="155">
        <f>'Plan ventes'!AF49</f>
        <v/>
      </c>
      <c r="AG22" s="155">
        <f>'Plan ventes'!AG49</f>
        <v/>
      </c>
      <c r="AH22" s="155">
        <f>'Plan ventes'!AH49</f>
        <v/>
      </c>
      <c r="AI22" s="155">
        <f>'Plan ventes'!AI49</f>
        <v/>
      </c>
      <c r="AJ22" s="155">
        <f>'Plan ventes'!AJ49</f>
        <v/>
      </c>
      <c r="AK22" s="155">
        <f>'Plan ventes'!AK49</f>
        <v/>
      </c>
    </row>
    <row r="23" s="143">
      <c r="A23" s="149" t="inlineStr">
        <is>
          <t>Utilisation capacité C2C</t>
        </is>
      </c>
      <c r="B23" s="152">
        <f>'Plan ventes'!B54</f>
        <v/>
      </c>
      <c r="C23" s="152">
        <f>'Plan ventes'!C54</f>
        <v/>
      </c>
      <c r="D23" s="152">
        <f>'Plan ventes'!D54</f>
        <v/>
      </c>
      <c r="E23" s="152">
        <f>'Plan ventes'!E54</f>
        <v/>
      </c>
      <c r="F23" s="152">
        <f>'Plan ventes'!F54</f>
        <v/>
      </c>
      <c r="G23" s="152">
        <f>'Plan ventes'!G54</f>
        <v/>
      </c>
      <c r="H23" s="152">
        <f>'Plan ventes'!H54</f>
        <v/>
      </c>
      <c r="I23" s="152">
        <f>'Plan ventes'!I54</f>
        <v/>
      </c>
      <c r="J23" s="152">
        <f>'Plan ventes'!J54</f>
        <v/>
      </c>
      <c r="K23" s="152">
        <f>'Plan ventes'!K54</f>
        <v/>
      </c>
      <c r="L23" s="152">
        <f>'Plan ventes'!L54</f>
        <v/>
      </c>
      <c r="M23" s="152">
        <f>'Plan ventes'!M54</f>
        <v/>
      </c>
      <c r="N23" s="152">
        <f>'Plan ventes'!N54</f>
        <v/>
      </c>
      <c r="O23" s="152">
        <f>'Plan ventes'!O54</f>
        <v/>
      </c>
      <c r="P23" s="152">
        <f>'Plan ventes'!P54</f>
        <v/>
      </c>
      <c r="Q23" s="152">
        <f>'Plan ventes'!Q54</f>
        <v/>
      </c>
      <c r="R23" s="152">
        <f>'Plan ventes'!R54</f>
        <v/>
      </c>
      <c r="S23" s="152">
        <f>'Plan ventes'!S54</f>
        <v/>
      </c>
      <c r="T23" s="152">
        <f>'Plan ventes'!T54</f>
        <v/>
      </c>
      <c r="U23" s="152">
        <f>'Plan ventes'!U54</f>
        <v/>
      </c>
      <c r="V23" s="152">
        <f>'Plan ventes'!V54</f>
        <v/>
      </c>
      <c r="W23" s="152">
        <f>'Plan ventes'!W54</f>
        <v/>
      </c>
      <c r="X23" s="152">
        <f>'Plan ventes'!X54</f>
        <v/>
      </c>
      <c r="Y23" s="152">
        <f>'Plan ventes'!Y54</f>
        <v/>
      </c>
      <c r="Z23" s="152">
        <f>'Plan ventes'!Z54</f>
        <v/>
      </c>
      <c r="AA23" s="152">
        <f>'Plan ventes'!AA54</f>
        <v/>
      </c>
      <c r="AB23" s="152">
        <f>'Plan ventes'!AB54</f>
        <v/>
      </c>
      <c r="AC23" s="152">
        <f>'Plan ventes'!AC54</f>
        <v/>
      </c>
      <c r="AD23" s="152">
        <f>'Plan ventes'!AD54</f>
        <v/>
      </c>
      <c r="AE23" s="152">
        <f>'Plan ventes'!AE54</f>
        <v/>
      </c>
      <c r="AF23" s="152">
        <f>'Plan ventes'!AF54</f>
        <v/>
      </c>
      <c r="AG23" s="152">
        <f>'Plan ventes'!AG54</f>
        <v/>
      </c>
      <c r="AH23" s="152">
        <f>'Plan ventes'!AH54</f>
        <v/>
      </c>
      <c r="AI23" s="152">
        <f>'Plan ventes'!AI54</f>
        <v/>
      </c>
      <c r="AJ23" s="152">
        <f>'Plan ventes'!AJ54</f>
        <v/>
      </c>
      <c r="AK23" s="152">
        <f>'Plan ventes'!AK54</f>
        <v/>
      </c>
    </row>
    <row r="24" s="143">
      <c r="A24" s="149" t="inlineStr">
        <is>
          <t>Collaborateur 2 actif (0/1)</t>
        </is>
      </c>
      <c r="B24" s="153">
        <f>'Plan ventes'!B70</f>
        <v/>
      </c>
      <c r="C24" s="153">
        <f>'Plan ventes'!C70</f>
        <v/>
      </c>
      <c r="D24" s="153">
        <f>'Plan ventes'!D70</f>
        <v/>
      </c>
      <c r="E24" s="153">
        <f>'Plan ventes'!E70</f>
        <v/>
      </c>
      <c r="F24" s="153">
        <f>'Plan ventes'!F70</f>
        <v/>
      </c>
      <c r="G24" s="153">
        <f>'Plan ventes'!G70</f>
        <v/>
      </c>
      <c r="H24" s="153">
        <f>'Plan ventes'!H70</f>
        <v/>
      </c>
      <c r="I24" s="153">
        <f>'Plan ventes'!I70</f>
        <v/>
      </c>
      <c r="J24" s="153">
        <f>'Plan ventes'!J70</f>
        <v/>
      </c>
      <c r="K24" s="153">
        <f>'Plan ventes'!K70</f>
        <v/>
      </c>
      <c r="L24" s="153">
        <f>'Plan ventes'!L70</f>
        <v/>
      </c>
      <c r="M24" s="153">
        <f>'Plan ventes'!M70</f>
        <v/>
      </c>
      <c r="N24" s="153">
        <f>'Plan ventes'!N70</f>
        <v/>
      </c>
      <c r="O24" s="153">
        <f>'Plan ventes'!O70</f>
        <v/>
      </c>
      <c r="P24" s="153">
        <f>'Plan ventes'!P70</f>
        <v/>
      </c>
      <c r="Q24" s="153">
        <f>'Plan ventes'!Q70</f>
        <v/>
      </c>
      <c r="R24" s="153">
        <f>'Plan ventes'!R70</f>
        <v/>
      </c>
      <c r="S24" s="153">
        <f>'Plan ventes'!S70</f>
        <v/>
      </c>
      <c r="T24" s="153">
        <f>'Plan ventes'!T70</f>
        <v/>
      </c>
      <c r="U24" s="153">
        <f>'Plan ventes'!U70</f>
        <v/>
      </c>
      <c r="V24" s="153">
        <f>'Plan ventes'!V70</f>
        <v/>
      </c>
      <c r="W24" s="153">
        <f>'Plan ventes'!W70</f>
        <v/>
      </c>
      <c r="X24" s="153">
        <f>'Plan ventes'!X70</f>
        <v/>
      </c>
      <c r="Y24" s="153">
        <f>'Plan ventes'!Y70</f>
        <v/>
      </c>
      <c r="Z24" s="153">
        <f>'Plan ventes'!Z70</f>
        <v/>
      </c>
      <c r="AA24" s="153">
        <f>'Plan ventes'!AA70</f>
        <v/>
      </c>
      <c r="AB24" s="153">
        <f>'Plan ventes'!AB70</f>
        <v/>
      </c>
      <c r="AC24" s="153">
        <f>'Plan ventes'!AC70</f>
        <v/>
      </c>
      <c r="AD24" s="153">
        <f>'Plan ventes'!AD70</f>
        <v/>
      </c>
      <c r="AE24" s="153">
        <f>'Plan ventes'!AE70</f>
        <v/>
      </c>
      <c r="AF24" s="153">
        <f>'Plan ventes'!AF70</f>
        <v/>
      </c>
      <c r="AG24" s="153">
        <f>'Plan ventes'!AG70</f>
        <v/>
      </c>
      <c r="AH24" s="153">
        <f>'Plan ventes'!AH70</f>
        <v/>
      </c>
      <c r="AI24" s="153">
        <f>'Plan ventes'!AI70</f>
        <v/>
      </c>
      <c r="AJ24" s="153">
        <f>'Plan ventes'!AJ70</f>
        <v/>
      </c>
      <c r="AK24" s="153">
        <f>'Plan ventes'!AK70</f>
        <v/>
      </c>
    </row>
    <row r="25" s="143">
      <c r="A25" s="149" t="n"/>
      <c r="B25" s="149" t="n"/>
      <c r="C25" s="149" t="n"/>
      <c r="D25" s="149" t="n"/>
      <c r="E25" s="149" t="n"/>
      <c r="F25" s="149" t="n"/>
      <c r="G25" s="149" t="n"/>
      <c r="H25" s="149" t="n"/>
      <c r="I25" s="149" t="n"/>
      <c r="J25" s="149" t="n"/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49" t="n"/>
      <c r="Y25" s="149" t="n"/>
      <c r="Z25" s="149" t="n"/>
      <c r="AA25" s="149" t="n"/>
      <c r="AB25" s="149" t="n"/>
      <c r="AC25" s="149" t="n"/>
      <c r="AD25" s="149" t="n"/>
      <c r="AE25" s="149" t="n"/>
      <c r="AF25" s="149" t="n"/>
      <c r="AG25" s="149" t="n"/>
      <c r="AH25" s="149" t="n"/>
      <c r="AI25" s="149" t="n"/>
      <c r="AJ25" s="149" t="n"/>
      <c r="AK25" s="149" t="n"/>
    </row>
    <row r="26" ht="18" customHeight="1" s="143">
      <c r="A26" s="150" t="inlineStr">
        <is>
          <t>UNIT ECONOMICS PAR FACE (offre / demande) — LTV bornée à 36 mois, commissions partagées 50/50 entre les faces</t>
        </is>
      </c>
      <c r="B26" s="150" t="n"/>
      <c r="C26" s="150" t="n"/>
      <c r="D26" s="150" t="n"/>
      <c r="E26" s="150" t="n"/>
      <c r="F26" s="150" t="n"/>
      <c r="G26" s="150" t="n"/>
      <c r="H26" s="150" t="n"/>
      <c r="I26" s="150" t="n"/>
      <c r="J26" s="150" t="n"/>
      <c r="K26" s="150" t="n"/>
      <c r="L26" s="150" t="n"/>
      <c r="M26" s="150" t="n"/>
      <c r="N26" s="150" t="n"/>
      <c r="O26" s="150" t="n"/>
      <c r="P26" s="150" t="n"/>
      <c r="Q26" s="150" t="n"/>
      <c r="R26" s="150" t="n"/>
      <c r="S26" s="150" t="n"/>
      <c r="T26" s="150" t="n"/>
      <c r="U26" s="150" t="n"/>
      <c r="V26" s="150" t="n"/>
      <c r="W26" s="150" t="n"/>
      <c r="X26" s="150" t="n"/>
      <c r="Y26" s="150" t="n"/>
      <c r="Z26" s="150" t="n"/>
      <c r="AA26" s="150" t="n"/>
      <c r="AB26" s="150" t="n"/>
      <c r="AC26" s="150" t="n"/>
      <c r="AD26" s="150" t="n"/>
      <c r="AE26" s="150" t="n"/>
      <c r="AF26" s="150" t="n"/>
      <c r="AG26" s="150" t="n"/>
      <c r="AH26" s="150" t="n"/>
      <c r="AI26" s="150" t="n"/>
      <c r="AJ26" s="150" t="n"/>
      <c r="AK26" s="150" t="n"/>
    </row>
    <row r="27" s="143">
      <c r="A27" s="149" t="inlineStr">
        <is>
          <t>Nouveaux OFFRE (prestataires + loueurs pro onboardés)</t>
        </is>
      </c>
      <c r="B27" s="155">
        <f>'Plan ventes'!B11+'Plan ventes'!B34</f>
        <v/>
      </c>
      <c r="C27" s="155">
        <f>'Plan ventes'!C11+'Plan ventes'!C34</f>
        <v/>
      </c>
      <c r="D27" s="155">
        <f>'Plan ventes'!D11+'Plan ventes'!D34</f>
        <v/>
      </c>
      <c r="E27" s="155">
        <f>'Plan ventes'!E11+'Plan ventes'!E34</f>
        <v/>
      </c>
      <c r="F27" s="155">
        <f>'Plan ventes'!F11+'Plan ventes'!F34</f>
        <v/>
      </c>
      <c r="G27" s="155">
        <f>'Plan ventes'!G11+'Plan ventes'!G34</f>
        <v/>
      </c>
      <c r="H27" s="155">
        <f>'Plan ventes'!H11+'Plan ventes'!H34</f>
        <v/>
      </c>
      <c r="I27" s="155">
        <f>'Plan ventes'!I11+'Plan ventes'!I34</f>
        <v/>
      </c>
      <c r="J27" s="155">
        <f>'Plan ventes'!J11+'Plan ventes'!J34</f>
        <v/>
      </c>
      <c r="K27" s="155">
        <f>'Plan ventes'!K11+'Plan ventes'!K34</f>
        <v/>
      </c>
      <c r="L27" s="155">
        <f>'Plan ventes'!L11+'Plan ventes'!L34</f>
        <v/>
      </c>
      <c r="M27" s="155">
        <f>'Plan ventes'!M11+'Plan ventes'!M34</f>
        <v/>
      </c>
      <c r="N27" s="155">
        <f>'Plan ventes'!N11+'Plan ventes'!N34</f>
        <v/>
      </c>
      <c r="O27" s="155">
        <f>'Plan ventes'!O11+'Plan ventes'!O34</f>
        <v/>
      </c>
      <c r="P27" s="155">
        <f>'Plan ventes'!P11+'Plan ventes'!P34</f>
        <v/>
      </c>
      <c r="Q27" s="155">
        <f>'Plan ventes'!Q11+'Plan ventes'!Q34</f>
        <v/>
      </c>
      <c r="R27" s="155">
        <f>'Plan ventes'!R11+'Plan ventes'!R34</f>
        <v/>
      </c>
      <c r="S27" s="155">
        <f>'Plan ventes'!S11+'Plan ventes'!S34</f>
        <v/>
      </c>
      <c r="T27" s="155">
        <f>'Plan ventes'!T11+'Plan ventes'!T34</f>
        <v/>
      </c>
      <c r="U27" s="155">
        <f>'Plan ventes'!U11+'Plan ventes'!U34</f>
        <v/>
      </c>
      <c r="V27" s="155">
        <f>'Plan ventes'!V11+'Plan ventes'!V34</f>
        <v/>
      </c>
      <c r="W27" s="155">
        <f>'Plan ventes'!W11+'Plan ventes'!W34</f>
        <v/>
      </c>
      <c r="X27" s="155">
        <f>'Plan ventes'!X11+'Plan ventes'!X34</f>
        <v/>
      </c>
      <c r="Y27" s="155">
        <f>'Plan ventes'!Y11+'Plan ventes'!Y34</f>
        <v/>
      </c>
      <c r="Z27" s="155">
        <f>'Plan ventes'!Z11+'Plan ventes'!Z34</f>
        <v/>
      </c>
      <c r="AA27" s="155">
        <f>'Plan ventes'!AA11+'Plan ventes'!AA34</f>
        <v/>
      </c>
      <c r="AB27" s="155">
        <f>'Plan ventes'!AB11+'Plan ventes'!AB34</f>
        <v/>
      </c>
      <c r="AC27" s="155">
        <f>'Plan ventes'!AC11+'Plan ventes'!AC34</f>
        <v/>
      </c>
      <c r="AD27" s="155">
        <f>'Plan ventes'!AD11+'Plan ventes'!AD34</f>
        <v/>
      </c>
      <c r="AE27" s="155">
        <f>'Plan ventes'!AE11+'Plan ventes'!AE34</f>
        <v/>
      </c>
      <c r="AF27" s="155">
        <f>'Plan ventes'!AF11+'Plan ventes'!AF34</f>
        <v/>
      </c>
      <c r="AG27" s="155">
        <f>'Plan ventes'!AG11+'Plan ventes'!AG34</f>
        <v/>
      </c>
      <c r="AH27" s="155">
        <f>'Plan ventes'!AH11+'Plan ventes'!AH34</f>
        <v/>
      </c>
      <c r="AI27" s="155">
        <f>'Plan ventes'!AI11+'Plan ventes'!AI34</f>
        <v/>
      </c>
      <c r="AJ27" s="155">
        <f>'Plan ventes'!AJ11+'Plan ventes'!AJ34</f>
        <v/>
      </c>
      <c r="AK27" s="155">
        <f>'Plan ventes'!AK11+'Plan ventes'!AK34</f>
        <v/>
      </c>
    </row>
    <row r="28" s="143">
      <c r="A28" s="149" t="inlineStr">
        <is>
          <t>Nouveaux DEMANDE (clients vidéo + clients transactionnels estimés)</t>
        </is>
      </c>
      <c r="B28" s="155">
        <f>'Plan ventes'!B27+'Plan ventes'!B65</f>
        <v/>
      </c>
      <c r="C28" s="155">
        <f>'Plan ventes'!C27+'Plan ventes'!C65</f>
        <v/>
      </c>
      <c r="D28" s="155">
        <f>'Plan ventes'!D27+'Plan ventes'!D65</f>
        <v/>
      </c>
      <c r="E28" s="155">
        <f>'Plan ventes'!E27+'Plan ventes'!E65</f>
        <v/>
      </c>
      <c r="F28" s="155">
        <f>'Plan ventes'!F27+'Plan ventes'!F65</f>
        <v/>
      </c>
      <c r="G28" s="155">
        <f>'Plan ventes'!G27+'Plan ventes'!G65</f>
        <v/>
      </c>
      <c r="H28" s="155">
        <f>'Plan ventes'!H27+'Plan ventes'!H65</f>
        <v/>
      </c>
      <c r="I28" s="155">
        <f>'Plan ventes'!I27+'Plan ventes'!I65</f>
        <v/>
      </c>
      <c r="J28" s="155">
        <f>'Plan ventes'!J27+'Plan ventes'!J65</f>
        <v/>
      </c>
      <c r="K28" s="155">
        <f>'Plan ventes'!K27+'Plan ventes'!K65</f>
        <v/>
      </c>
      <c r="L28" s="155">
        <f>'Plan ventes'!L27+'Plan ventes'!L65</f>
        <v/>
      </c>
      <c r="M28" s="155">
        <f>'Plan ventes'!M27+'Plan ventes'!M65</f>
        <v/>
      </c>
      <c r="N28" s="155">
        <f>'Plan ventes'!N27+'Plan ventes'!N65</f>
        <v/>
      </c>
      <c r="O28" s="155">
        <f>'Plan ventes'!O27+'Plan ventes'!O65</f>
        <v/>
      </c>
      <c r="P28" s="155">
        <f>'Plan ventes'!P27+'Plan ventes'!P65</f>
        <v/>
      </c>
      <c r="Q28" s="155">
        <f>'Plan ventes'!Q27+'Plan ventes'!Q65</f>
        <v/>
      </c>
      <c r="R28" s="155">
        <f>'Plan ventes'!R27+'Plan ventes'!R65</f>
        <v/>
      </c>
      <c r="S28" s="155">
        <f>'Plan ventes'!S27+'Plan ventes'!S65</f>
        <v/>
      </c>
      <c r="T28" s="155">
        <f>'Plan ventes'!T27+'Plan ventes'!T65</f>
        <v/>
      </c>
      <c r="U28" s="155">
        <f>'Plan ventes'!U27+'Plan ventes'!U65</f>
        <v/>
      </c>
      <c r="V28" s="155">
        <f>'Plan ventes'!V27+'Plan ventes'!V65</f>
        <v/>
      </c>
      <c r="W28" s="155">
        <f>'Plan ventes'!W27+'Plan ventes'!W65</f>
        <v/>
      </c>
      <c r="X28" s="155">
        <f>'Plan ventes'!X27+'Plan ventes'!X65</f>
        <v/>
      </c>
      <c r="Y28" s="155">
        <f>'Plan ventes'!Y27+'Plan ventes'!Y65</f>
        <v/>
      </c>
      <c r="Z28" s="155">
        <f>'Plan ventes'!Z27+'Plan ventes'!Z65</f>
        <v/>
      </c>
      <c r="AA28" s="155">
        <f>'Plan ventes'!AA27+'Plan ventes'!AA65</f>
        <v/>
      </c>
      <c r="AB28" s="155">
        <f>'Plan ventes'!AB27+'Plan ventes'!AB65</f>
        <v/>
      </c>
      <c r="AC28" s="155">
        <f>'Plan ventes'!AC27+'Plan ventes'!AC65</f>
        <v/>
      </c>
      <c r="AD28" s="155">
        <f>'Plan ventes'!AD27+'Plan ventes'!AD65</f>
        <v/>
      </c>
      <c r="AE28" s="155">
        <f>'Plan ventes'!AE27+'Plan ventes'!AE65</f>
        <v/>
      </c>
      <c r="AF28" s="155">
        <f>'Plan ventes'!AF27+'Plan ventes'!AF65</f>
        <v/>
      </c>
      <c r="AG28" s="155">
        <f>'Plan ventes'!AG27+'Plan ventes'!AG65</f>
        <v/>
      </c>
      <c r="AH28" s="155">
        <f>'Plan ventes'!AH27+'Plan ventes'!AH65</f>
        <v/>
      </c>
      <c r="AI28" s="155">
        <f>'Plan ventes'!AI27+'Plan ventes'!AI65</f>
        <v/>
      </c>
      <c r="AJ28" s="155">
        <f>'Plan ventes'!AJ27+'Plan ventes'!AJ65</f>
        <v/>
      </c>
      <c r="AK28" s="155">
        <f>'Plan ventes'!AK27+'Plan ventes'!AK65</f>
        <v/>
      </c>
    </row>
    <row r="29" s="143">
      <c r="A29" s="149" t="inlineStr">
        <is>
          <t>Dépenses d'acquisition (pub + part accompagnement + temps fondateur chargé)</t>
        </is>
      </c>
      <c r="B29" s="168">
        <f>'Plan ventes'!B6+Parametres!$D$120*(1+Parametres!$D$47)^(B$2-1)*Parametres!$D$70+Parametres!$D$71*Parametres!$D$113*(1+Parametres!$D$115)*(1+Parametres!$D$47)^(B$2-1)</f>
        <v/>
      </c>
      <c r="C29" s="168">
        <f>'Plan ventes'!C6+Parametres!$D$120*(1+Parametres!$D$47)^(C$2-1)*Parametres!$D$70+Parametres!$D$71*Parametres!$D$113*(1+Parametres!$D$115)*(1+Parametres!$D$47)^(C$2-1)</f>
        <v/>
      </c>
      <c r="D29" s="168">
        <f>'Plan ventes'!D6+Parametres!$D$120*(1+Parametres!$D$47)^(D$2-1)*Parametres!$D$70+Parametres!$D$71*Parametres!$D$113*(1+Parametres!$D$115)*(1+Parametres!$D$47)^(D$2-1)</f>
        <v/>
      </c>
      <c r="E29" s="168">
        <f>'Plan ventes'!E6+Parametres!$D$120*(1+Parametres!$D$47)^(E$2-1)*Parametres!$D$70+Parametres!$D$71*Parametres!$D$113*(1+Parametres!$D$115)*(1+Parametres!$D$47)^(E$2-1)</f>
        <v/>
      </c>
      <c r="F29" s="168">
        <f>'Plan ventes'!F6+Parametres!$D$120*(1+Parametres!$D$47)^(F$2-1)*Parametres!$D$70+Parametres!$D$71*Parametres!$D$113*(1+Parametres!$D$115)*(1+Parametres!$D$47)^(F$2-1)</f>
        <v/>
      </c>
      <c r="G29" s="168">
        <f>'Plan ventes'!G6+Parametres!$D$120*(1+Parametres!$D$47)^(G$2-1)*Parametres!$D$70+Parametres!$D$71*Parametres!$D$113*(1+Parametres!$D$115)*(1+Parametres!$D$47)^(G$2-1)</f>
        <v/>
      </c>
      <c r="H29" s="168">
        <f>'Plan ventes'!H6+Parametres!$D$120*(1+Parametres!$D$47)^(H$2-1)*Parametres!$D$70+Parametres!$D$71*Parametres!$D$113*(1+Parametres!$D$115)*(1+Parametres!$D$47)^(H$2-1)</f>
        <v/>
      </c>
      <c r="I29" s="168">
        <f>'Plan ventes'!I6+Parametres!$D$120*(1+Parametres!$D$47)^(I$2-1)*Parametres!$D$70+Parametres!$D$71*Parametres!$D$113*(1+Parametres!$D$115)*(1+Parametres!$D$47)^(I$2-1)</f>
        <v/>
      </c>
      <c r="J29" s="168">
        <f>'Plan ventes'!J6+Parametres!$D$120*(1+Parametres!$D$47)^(J$2-1)*Parametres!$D$70+Parametres!$D$71*Parametres!$D$113*(1+Parametres!$D$115)*(1+Parametres!$D$47)^(J$2-1)</f>
        <v/>
      </c>
      <c r="K29" s="168">
        <f>'Plan ventes'!K6+Parametres!$D$120*(1+Parametres!$D$47)^(K$2-1)*Parametres!$D$70+Parametres!$D$71*Parametres!$D$113*(1+Parametres!$D$115)*(1+Parametres!$D$47)^(K$2-1)</f>
        <v/>
      </c>
      <c r="L29" s="168">
        <f>'Plan ventes'!L6+Parametres!$D$120*(1+Parametres!$D$47)^(L$2-1)*Parametres!$D$70+Parametres!$D$71*Parametres!$D$113*(1+Parametres!$D$115)*(1+Parametres!$D$47)^(L$2-1)</f>
        <v/>
      </c>
      <c r="M29" s="168">
        <f>'Plan ventes'!M6+Parametres!$D$120*(1+Parametres!$D$47)^(M$2-1)*Parametres!$D$70+Parametres!$D$71*Parametres!$D$113*(1+Parametres!$D$115)*(1+Parametres!$D$47)^(M$2-1)</f>
        <v/>
      </c>
      <c r="N29" s="168">
        <f>'Plan ventes'!N6+Parametres!$D$120*(1+Parametres!$D$47)^(N$2-1)*Parametres!$D$70+Parametres!$D$71*Parametres!$D$113*(1+Parametres!$D$115)*(1+Parametres!$D$47)^(N$2-1)</f>
        <v/>
      </c>
      <c r="O29" s="168">
        <f>'Plan ventes'!O6+Parametres!$D$120*(1+Parametres!$D$47)^(O$2-1)*Parametres!$D$70+Parametres!$D$71*Parametres!$D$113*(1+Parametres!$D$115)*(1+Parametres!$D$47)^(O$2-1)</f>
        <v/>
      </c>
      <c r="P29" s="168">
        <f>'Plan ventes'!P6+Parametres!$D$120*(1+Parametres!$D$47)^(P$2-1)*Parametres!$D$70+Parametres!$D$71*Parametres!$D$113*(1+Parametres!$D$115)*(1+Parametres!$D$47)^(P$2-1)</f>
        <v/>
      </c>
      <c r="Q29" s="168">
        <f>'Plan ventes'!Q6+Parametres!$D$120*(1+Parametres!$D$47)^(Q$2-1)*Parametres!$D$70+Parametres!$D$71*Parametres!$D$113*(1+Parametres!$D$115)*(1+Parametres!$D$47)^(Q$2-1)</f>
        <v/>
      </c>
      <c r="R29" s="168">
        <f>'Plan ventes'!R6+Parametres!$D$120*(1+Parametres!$D$47)^(R$2-1)*Parametres!$D$70+Parametres!$D$71*Parametres!$D$113*(1+Parametres!$D$115)*(1+Parametres!$D$47)^(R$2-1)</f>
        <v/>
      </c>
      <c r="S29" s="168">
        <f>'Plan ventes'!S6+Parametres!$D$120*(1+Parametres!$D$47)^(S$2-1)*Parametres!$D$70+Parametres!$D$71*Parametres!$D$113*(1+Parametres!$D$115)*(1+Parametres!$D$47)^(S$2-1)</f>
        <v/>
      </c>
      <c r="T29" s="168">
        <f>'Plan ventes'!T6+Parametres!$D$120*(1+Parametres!$D$47)^(T$2-1)*Parametres!$D$70+Parametres!$D$71*Parametres!$D$113*(1+Parametres!$D$115)*(1+Parametres!$D$47)^(T$2-1)</f>
        <v/>
      </c>
      <c r="U29" s="168">
        <f>'Plan ventes'!U6+Parametres!$D$120*(1+Parametres!$D$47)^(U$2-1)*Parametres!$D$70+Parametres!$D$71*Parametres!$D$113*(1+Parametres!$D$115)*(1+Parametres!$D$47)^(U$2-1)</f>
        <v/>
      </c>
      <c r="V29" s="168">
        <f>'Plan ventes'!V6+Parametres!$D$120*(1+Parametres!$D$47)^(V$2-1)*Parametres!$D$70+Parametres!$D$71*Parametres!$D$113*(1+Parametres!$D$115)*(1+Parametres!$D$47)^(V$2-1)</f>
        <v/>
      </c>
      <c r="W29" s="168">
        <f>'Plan ventes'!W6+Parametres!$D$120*(1+Parametres!$D$47)^(W$2-1)*Parametres!$D$70+Parametres!$D$71*Parametres!$D$113*(1+Parametres!$D$115)*(1+Parametres!$D$47)^(W$2-1)</f>
        <v/>
      </c>
      <c r="X29" s="168">
        <f>'Plan ventes'!X6+Parametres!$D$120*(1+Parametres!$D$47)^(X$2-1)*Parametres!$D$70+Parametres!$D$71*Parametres!$D$113*(1+Parametres!$D$115)*(1+Parametres!$D$47)^(X$2-1)</f>
        <v/>
      </c>
      <c r="Y29" s="168">
        <f>'Plan ventes'!Y6+Parametres!$D$120*(1+Parametres!$D$47)^(Y$2-1)*Parametres!$D$70+Parametres!$D$71*Parametres!$D$113*(1+Parametres!$D$115)*(1+Parametres!$D$47)^(Y$2-1)</f>
        <v/>
      </c>
      <c r="Z29" s="168">
        <f>'Plan ventes'!Z6+Parametres!$D$120*(1+Parametres!$D$47)^(Z$2-1)*Parametres!$D$70+Parametres!$D$71*Parametres!$D$113*(1+Parametres!$D$115)*(1+Parametres!$D$47)^(Z$2-1)</f>
        <v/>
      </c>
      <c r="AA29" s="168">
        <f>'Plan ventes'!AA6+Parametres!$D$120*(1+Parametres!$D$47)^(AA$2-1)*Parametres!$D$70+Parametres!$D$71*Parametres!$D$113*(1+Parametres!$D$115)*(1+Parametres!$D$47)^(AA$2-1)</f>
        <v/>
      </c>
      <c r="AB29" s="168">
        <f>'Plan ventes'!AB6+Parametres!$D$120*(1+Parametres!$D$47)^(AB$2-1)*Parametres!$D$70+Parametres!$D$71*Parametres!$D$113*(1+Parametres!$D$115)*(1+Parametres!$D$47)^(AB$2-1)</f>
        <v/>
      </c>
      <c r="AC29" s="168">
        <f>'Plan ventes'!AC6+Parametres!$D$120*(1+Parametres!$D$47)^(AC$2-1)*Parametres!$D$70+Parametres!$D$71*Parametres!$D$113*(1+Parametres!$D$115)*(1+Parametres!$D$47)^(AC$2-1)</f>
        <v/>
      </c>
      <c r="AD29" s="168">
        <f>'Plan ventes'!AD6+Parametres!$D$120*(1+Parametres!$D$47)^(AD$2-1)*Parametres!$D$70+Parametres!$D$71*Parametres!$D$113*(1+Parametres!$D$115)*(1+Parametres!$D$47)^(AD$2-1)</f>
        <v/>
      </c>
      <c r="AE29" s="168">
        <f>'Plan ventes'!AE6+Parametres!$D$120*(1+Parametres!$D$47)^(AE$2-1)*Parametres!$D$70+Parametres!$D$71*Parametres!$D$113*(1+Parametres!$D$115)*(1+Parametres!$D$47)^(AE$2-1)</f>
        <v/>
      </c>
      <c r="AF29" s="168">
        <f>'Plan ventes'!AF6+Parametres!$D$120*(1+Parametres!$D$47)^(AF$2-1)*Parametres!$D$70+Parametres!$D$71*Parametres!$D$113*(1+Parametres!$D$115)*(1+Parametres!$D$47)^(AF$2-1)</f>
        <v/>
      </c>
      <c r="AG29" s="168">
        <f>'Plan ventes'!AG6+Parametres!$D$120*(1+Parametres!$D$47)^(AG$2-1)*Parametres!$D$70+Parametres!$D$71*Parametres!$D$113*(1+Parametres!$D$115)*(1+Parametres!$D$47)^(AG$2-1)</f>
        <v/>
      </c>
      <c r="AH29" s="168">
        <f>'Plan ventes'!AH6+Parametres!$D$120*(1+Parametres!$D$47)^(AH$2-1)*Parametres!$D$70+Parametres!$D$71*Parametres!$D$113*(1+Parametres!$D$115)*(1+Parametres!$D$47)^(AH$2-1)</f>
        <v/>
      </c>
      <c r="AI29" s="168">
        <f>'Plan ventes'!AI6+Parametres!$D$120*(1+Parametres!$D$47)^(AI$2-1)*Parametres!$D$70+Parametres!$D$71*Parametres!$D$113*(1+Parametres!$D$115)*(1+Parametres!$D$47)^(AI$2-1)</f>
        <v/>
      </c>
      <c r="AJ29" s="168">
        <f>'Plan ventes'!AJ6+Parametres!$D$120*(1+Parametres!$D$47)^(AJ$2-1)*Parametres!$D$70+Parametres!$D$71*Parametres!$D$113*(1+Parametres!$D$115)*(1+Parametres!$D$47)^(AJ$2-1)</f>
        <v/>
      </c>
      <c r="AK29" s="168">
        <f>'Plan ventes'!AK6+Parametres!$D$120*(1+Parametres!$D$47)^(AK$2-1)*Parametres!$D$70+Parametres!$D$71*Parametres!$D$113*(1+Parametres!$D$115)*(1+Parametres!$D$47)^(AK$2-1)</f>
        <v/>
      </c>
    </row>
    <row r="30" s="143">
      <c r="A30" s="149" t="inlineStr">
        <is>
          <t>Dépenses d'acquisition OFFRE</t>
        </is>
      </c>
      <c r="B30" s="168">
        <f>Parametres!$D$76*B29</f>
        <v/>
      </c>
      <c r="C30" s="168">
        <f>Parametres!$D$76*C29</f>
        <v/>
      </c>
      <c r="D30" s="168">
        <f>Parametres!$D$76*D29</f>
        <v/>
      </c>
      <c r="E30" s="168">
        <f>Parametres!$D$76*E29</f>
        <v/>
      </c>
      <c r="F30" s="168">
        <f>Parametres!$D$76*F29</f>
        <v/>
      </c>
      <c r="G30" s="168">
        <f>Parametres!$D$76*G29</f>
        <v/>
      </c>
      <c r="H30" s="168">
        <f>Parametres!$D$76*H29</f>
        <v/>
      </c>
      <c r="I30" s="168">
        <f>Parametres!$D$76*I29</f>
        <v/>
      </c>
      <c r="J30" s="168">
        <f>Parametres!$D$76*J29</f>
        <v/>
      </c>
      <c r="K30" s="168">
        <f>Parametres!$D$76*K29</f>
        <v/>
      </c>
      <c r="L30" s="168">
        <f>Parametres!$D$76*L29</f>
        <v/>
      </c>
      <c r="M30" s="168">
        <f>Parametres!$D$76*M29</f>
        <v/>
      </c>
      <c r="N30" s="168">
        <f>Parametres!$D$76*N29</f>
        <v/>
      </c>
      <c r="O30" s="168">
        <f>Parametres!$D$76*O29</f>
        <v/>
      </c>
      <c r="P30" s="168">
        <f>Parametres!$D$76*P29</f>
        <v/>
      </c>
      <c r="Q30" s="168">
        <f>Parametres!$D$76*Q29</f>
        <v/>
      </c>
      <c r="R30" s="168">
        <f>Parametres!$D$76*R29</f>
        <v/>
      </c>
      <c r="S30" s="168">
        <f>Parametres!$D$76*S29</f>
        <v/>
      </c>
      <c r="T30" s="168">
        <f>Parametres!$D$76*T29</f>
        <v/>
      </c>
      <c r="U30" s="168">
        <f>Parametres!$D$76*U29</f>
        <v/>
      </c>
      <c r="V30" s="168">
        <f>Parametres!$D$76*V29</f>
        <v/>
      </c>
      <c r="W30" s="168">
        <f>Parametres!$D$76*W29</f>
        <v/>
      </c>
      <c r="X30" s="168">
        <f>Parametres!$D$76*X29</f>
        <v/>
      </c>
      <c r="Y30" s="168">
        <f>Parametres!$D$76*Y29</f>
        <v/>
      </c>
      <c r="Z30" s="168">
        <f>Parametres!$D$76*Z29</f>
        <v/>
      </c>
      <c r="AA30" s="168">
        <f>Parametres!$D$76*AA29</f>
        <v/>
      </c>
      <c r="AB30" s="168">
        <f>Parametres!$D$76*AB29</f>
        <v/>
      </c>
      <c r="AC30" s="168">
        <f>Parametres!$D$76*AC29</f>
        <v/>
      </c>
      <c r="AD30" s="168">
        <f>Parametres!$D$76*AD29</f>
        <v/>
      </c>
      <c r="AE30" s="168">
        <f>Parametres!$D$76*AE29</f>
        <v/>
      </c>
      <c r="AF30" s="168">
        <f>Parametres!$D$76*AF29</f>
        <v/>
      </c>
      <c r="AG30" s="168">
        <f>Parametres!$D$76*AG29</f>
        <v/>
      </c>
      <c r="AH30" s="168">
        <f>Parametres!$D$76*AH29</f>
        <v/>
      </c>
      <c r="AI30" s="168">
        <f>Parametres!$D$76*AI29</f>
        <v/>
      </c>
      <c r="AJ30" s="168">
        <f>Parametres!$D$76*AJ29</f>
        <v/>
      </c>
      <c r="AK30" s="168">
        <f>Parametres!$D$76*AK29</f>
        <v/>
      </c>
    </row>
    <row r="31" s="143">
      <c r="A31" s="149" t="inlineStr">
        <is>
          <t>Dépenses d'acquisition DEMANDE</t>
        </is>
      </c>
      <c r="B31" s="168">
        <f>Parametres!$D$75*B29</f>
        <v/>
      </c>
      <c r="C31" s="168">
        <f>Parametres!$D$75*C29</f>
        <v/>
      </c>
      <c r="D31" s="168">
        <f>Parametres!$D$75*D29</f>
        <v/>
      </c>
      <c r="E31" s="168">
        <f>Parametres!$D$75*E29</f>
        <v/>
      </c>
      <c r="F31" s="168">
        <f>Parametres!$D$75*F29</f>
        <v/>
      </c>
      <c r="G31" s="168">
        <f>Parametres!$D$75*G29</f>
        <v/>
      </c>
      <c r="H31" s="168">
        <f>Parametres!$D$75*H29</f>
        <v/>
      </c>
      <c r="I31" s="168">
        <f>Parametres!$D$75*I29</f>
        <v/>
      </c>
      <c r="J31" s="168">
        <f>Parametres!$D$75*J29</f>
        <v/>
      </c>
      <c r="K31" s="168">
        <f>Parametres!$D$75*K29</f>
        <v/>
      </c>
      <c r="L31" s="168">
        <f>Parametres!$D$75*L29</f>
        <v/>
      </c>
      <c r="M31" s="168">
        <f>Parametres!$D$75*M29</f>
        <v/>
      </c>
      <c r="N31" s="168">
        <f>Parametres!$D$75*N29</f>
        <v/>
      </c>
      <c r="O31" s="168">
        <f>Parametres!$D$75*O29</f>
        <v/>
      </c>
      <c r="P31" s="168">
        <f>Parametres!$D$75*P29</f>
        <v/>
      </c>
      <c r="Q31" s="168">
        <f>Parametres!$D$75*Q29</f>
        <v/>
      </c>
      <c r="R31" s="168">
        <f>Parametres!$D$75*R29</f>
        <v/>
      </c>
      <c r="S31" s="168">
        <f>Parametres!$D$75*S29</f>
        <v/>
      </c>
      <c r="T31" s="168">
        <f>Parametres!$D$75*T29</f>
        <v/>
      </c>
      <c r="U31" s="168">
        <f>Parametres!$D$75*U29</f>
        <v/>
      </c>
      <c r="V31" s="168">
        <f>Parametres!$D$75*V29</f>
        <v/>
      </c>
      <c r="W31" s="168">
        <f>Parametres!$D$75*W29</f>
        <v/>
      </c>
      <c r="X31" s="168">
        <f>Parametres!$D$75*X29</f>
        <v/>
      </c>
      <c r="Y31" s="168">
        <f>Parametres!$D$75*Y29</f>
        <v/>
      </c>
      <c r="Z31" s="168">
        <f>Parametres!$D$75*Z29</f>
        <v/>
      </c>
      <c r="AA31" s="168">
        <f>Parametres!$D$75*AA29</f>
        <v/>
      </c>
      <c r="AB31" s="168">
        <f>Parametres!$D$75*AB29</f>
        <v/>
      </c>
      <c r="AC31" s="168">
        <f>Parametres!$D$75*AC29</f>
        <v/>
      </c>
      <c r="AD31" s="168">
        <f>Parametres!$D$75*AD29</f>
        <v/>
      </c>
      <c r="AE31" s="168">
        <f>Parametres!$D$75*AE29</f>
        <v/>
      </c>
      <c r="AF31" s="168">
        <f>Parametres!$D$75*AF29</f>
        <v/>
      </c>
      <c r="AG31" s="168">
        <f>Parametres!$D$75*AG29</f>
        <v/>
      </c>
      <c r="AH31" s="168">
        <f>Parametres!$D$75*AH29</f>
        <v/>
      </c>
      <c r="AI31" s="168">
        <f>Parametres!$D$75*AI29</f>
        <v/>
      </c>
      <c r="AJ31" s="168">
        <f>Parametres!$D$75*AJ29</f>
        <v/>
      </c>
      <c r="AK31" s="168">
        <f>Parametres!$D$75*AK29</f>
        <v/>
      </c>
    </row>
    <row r="32" s="143">
      <c r="A32" s="149" t="inlineStr">
        <is>
          <t>CAC offre</t>
        </is>
      </c>
      <c r="B32" s="176">
        <f>IF(B27=0,0,B30/B27)</f>
        <v/>
      </c>
      <c r="C32" s="176">
        <f>IF(C27=0,0,C30/C27)</f>
        <v/>
      </c>
      <c r="D32" s="176">
        <f>IF(D27=0,0,D30/D27)</f>
        <v/>
      </c>
      <c r="E32" s="176">
        <f>IF(E27=0,0,E30/E27)</f>
        <v/>
      </c>
      <c r="F32" s="176">
        <f>IF(F27=0,0,F30/F27)</f>
        <v/>
      </c>
      <c r="G32" s="176">
        <f>IF(G27=0,0,G30/G27)</f>
        <v/>
      </c>
      <c r="H32" s="176">
        <f>IF(H27=0,0,H30/H27)</f>
        <v/>
      </c>
      <c r="I32" s="176">
        <f>IF(I27=0,0,I30/I27)</f>
        <v/>
      </c>
      <c r="J32" s="176">
        <f>IF(J27=0,0,J30/J27)</f>
        <v/>
      </c>
      <c r="K32" s="176">
        <f>IF(K27=0,0,K30/K27)</f>
        <v/>
      </c>
      <c r="L32" s="176">
        <f>IF(L27=0,0,L30/L27)</f>
        <v/>
      </c>
      <c r="M32" s="176">
        <f>IF(M27=0,0,M30/M27)</f>
        <v/>
      </c>
      <c r="N32" s="176">
        <f>IF(N27=0,0,N30/N27)</f>
        <v/>
      </c>
      <c r="O32" s="176">
        <f>IF(O27=0,0,O30/O27)</f>
        <v/>
      </c>
      <c r="P32" s="176">
        <f>IF(P27=0,0,P30/P27)</f>
        <v/>
      </c>
      <c r="Q32" s="176">
        <f>IF(Q27=0,0,Q30/Q27)</f>
        <v/>
      </c>
      <c r="R32" s="176">
        <f>IF(R27=0,0,R30/R27)</f>
        <v/>
      </c>
      <c r="S32" s="176">
        <f>IF(S27=0,0,S30/S27)</f>
        <v/>
      </c>
      <c r="T32" s="176">
        <f>IF(T27=0,0,T30/T27)</f>
        <v/>
      </c>
      <c r="U32" s="176">
        <f>IF(U27=0,0,U30/U27)</f>
        <v/>
      </c>
      <c r="V32" s="176">
        <f>IF(V27=0,0,V30/V27)</f>
        <v/>
      </c>
      <c r="W32" s="176">
        <f>IF(W27=0,0,W30/W27)</f>
        <v/>
      </c>
      <c r="X32" s="176">
        <f>IF(X27=0,0,X30/X27)</f>
        <v/>
      </c>
      <c r="Y32" s="176">
        <f>IF(Y27=0,0,Y30/Y27)</f>
        <v/>
      </c>
      <c r="Z32" s="176">
        <f>IF(Z27=0,0,Z30/Z27)</f>
        <v/>
      </c>
      <c r="AA32" s="176">
        <f>IF(AA27=0,0,AA30/AA27)</f>
        <v/>
      </c>
      <c r="AB32" s="176">
        <f>IF(AB27=0,0,AB30/AB27)</f>
        <v/>
      </c>
      <c r="AC32" s="176">
        <f>IF(AC27=0,0,AC30/AC27)</f>
        <v/>
      </c>
      <c r="AD32" s="176">
        <f>IF(AD27=0,0,AD30/AD27)</f>
        <v/>
      </c>
      <c r="AE32" s="176">
        <f>IF(AE27=0,0,AE30/AE27)</f>
        <v/>
      </c>
      <c r="AF32" s="176">
        <f>IF(AF27=0,0,AF30/AF27)</f>
        <v/>
      </c>
      <c r="AG32" s="176">
        <f>IF(AG27=0,0,AG30/AG27)</f>
        <v/>
      </c>
      <c r="AH32" s="176">
        <f>IF(AH27=0,0,AH30/AH27)</f>
        <v/>
      </c>
      <c r="AI32" s="176">
        <f>IF(AI27=0,0,AI30/AI27)</f>
        <v/>
      </c>
      <c r="AJ32" s="176">
        <f>IF(AJ27=0,0,AJ30/AJ27)</f>
        <v/>
      </c>
      <c r="AK32" s="176">
        <f>IF(AK27=0,0,AK30/AK27)</f>
        <v/>
      </c>
    </row>
    <row r="33" s="143">
      <c r="A33" s="149" t="inlineStr">
        <is>
          <t>CAC demande</t>
        </is>
      </c>
      <c r="B33" s="176">
        <f>IF(B28=0,0,B31/B28)</f>
        <v/>
      </c>
      <c r="C33" s="176">
        <f>IF(C28=0,0,C31/C28)</f>
        <v/>
      </c>
      <c r="D33" s="176">
        <f>IF(D28=0,0,D31/D28)</f>
        <v/>
      </c>
      <c r="E33" s="176">
        <f>IF(E28=0,0,E31/E28)</f>
        <v/>
      </c>
      <c r="F33" s="176">
        <f>IF(F28=0,0,F31/F28)</f>
        <v/>
      </c>
      <c r="G33" s="176">
        <f>IF(G28=0,0,G31/G28)</f>
        <v/>
      </c>
      <c r="H33" s="176">
        <f>IF(H28=0,0,H31/H28)</f>
        <v/>
      </c>
      <c r="I33" s="176">
        <f>IF(I28=0,0,I31/I28)</f>
        <v/>
      </c>
      <c r="J33" s="176">
        <f>IF(J28=0,0,J31/J28)</f>
        <v/>
      </c>
      <c r="K33" s="176">
        <f>IF(K28=0,0,K31/K28)</f>
        <v/>
      </c>
      <c r="L33" s="176">
        <f>IF(L28=0,0,L31/L28)</f>
        <v/>
      </c>
      <c r="M33" s="176">
        <f>IF(M28=0,0,M31/M28)</f>
        <v/>
      </c>
      <c r="N33" s="176">
        <f>IF(N28=0,0,N31/N28)</f>
        <v/>
      </c>
      <c r="O33" s="176">
        <f>IF(O28=0,0,O31/O28)</f>
        <v/>
      </c>
      <c r="P33" s="176">
        <f>IF(P28=0,0,P31/P28)</f>
        <v/>
      </c>
      <c r="Q33" s="176">
        <f>IF(Q28=0,0,Q31/Q28)</f>
        <v/>
      </c>
      <c r="R33" s="176">
        <f>IF(R28=0,0,R31/R28)</f>
        <v/>
      </c>
      <c r="S33" s="176">
        <f>IF(S28=0,0,S31/S28)</f>
        <v/>
      </c>
      <c r="T33" s="176">
        <f>IF(T28=0,0,T31/T28)</f>
        <v/>
      </c>
      <c r="U33" s="176">
        <f>IF(U28=0,0,U31/U28)</f>
        <v/>
      </c>
      <c r="V33" s="176">
        <f>IF(V28=0,0,V31/V28)</f>
        <v/>
      </c>
      <c r="W33" s="176">
        <f>IF(W28=0,0,W31/W28)</f>
        <v/>
      </c>
      <c r="X33" s="176">
        <f>IF(X28=0,0,X31/X28)</f>
        <v/>
      </c>
      <c r="Y33" s="176">
        <f>IF(Y28=0,0,Y31/Y28)</f>
        <v/>
      </c>
      <c r="Z33" s="176">
        <f>IF(Z28=0,0,Z31/Z28)</f>
        <v/>
      </c>
      <c r="AA33" s="176">
        <f>IF(AA28=0,0,AA31/AA28)</f>
        <v/>
      </c>
      <c r="AB33" s="176">
        <f>IF(AB28=0,0,AB31/AB28)</f>
        <v/>
      </c>
      <c r="AC33" s="176">
        <f>IF(AC28=0,0,AC31/AC28)</f>
        <v/>
      </c>
      <c r="AD33" s="176">
        <f>IF(AD28=0,0,AD31/AD28)</f>
        <v/>
      </c>
      <c r="AE33" s="176">
        <f>IF(AE28=0,0,AE31/AE28)</f>
        <v/>
      </c>
      <c r="AF33" s="176">
        <f>IF(AF28=0,0,AF31/AF28)</f>
        <v/>
      </c>
      <c r="AG33" s="176">
        <f>IF(AG28=0,0,AG31/AG28)</f>
        <v/>
      </c>
      <c r="AH33" s="176">
        <f>IF(AH28=0,0,AH31/AH28)</f>
        <v/>
      </c>
      <c r="AI33" s="176">
        <f>IF(AI28=0,0,AI31/AI28)</f>
        <v/>
      </c>
      <c r="AJ33" s="176">
        <f>IF(AJ28=0,0,AJ31/AJ28)</f>
        <v/>
      </c>
      <c r="AK33" s="176">
        <f>IF(AK28=0,0,AK31/AK28)</f>
        <v/>
      </c>
    </row>
    <row r="34" s="143">
      <c r="A34" s="149" t="inlineStr">
        <is>
          <t>Revenu mensuel moyen par prestataire / loueur (50 % commissions + abonnements Ampio+)</t>
        </is>
      </c>
      <c r="B34" s="168">
        <f>IF('Plan ventes'!B13+'Plan ventes'!B36=0,0,(0.5*('Plan ventes'!B24+'Plan ventes'!B44)+'Plan ventes'!B17)/('Plan ventes'!B13+'Plan ventes'!B36))</f>
        <v/>
      </c>
      <c r="C34" s="168">
        <f>IF('Plan ventes'!C13+'Plan ventes'!C36=0,0,(0.5*('Plan ventes'!C24+'Plan ventes'!C44)+'Plan ventes'!C17)/('Plan ventes'!C13+'Plan ventes'!C36))</f>
        <v/>
      </c>
      <c r="D34" s="168">
        <f>IF('Plan ventes'!D13+'Plan ventes'!D36=0,0,(0.5*('Plan ventes'!D24+'Plan ventes'!D44)+'Plan ventes'!D17)/('Plan ventes'!D13+'Plan ventes'!D36))</f>
        <v/>
      </c>
      <c r="E34" s="168">
        <f>IF('Plan ventes'!E13+'Plan ventes'!E36=0,0,(0.5*('Plan ventes'!E24+'Plan ventes'!E44)+'Plan ventes'!E17)/('Plan ventes'!E13+'Plan ventes'!E36))</f>
        <v/>
      </c>
      <c r="F34" s="168">
        <f>IF('Plan ventes'!F13+'Plan ventes'!F36=0,0,(0.5*('Plan ventes'!F24+'Plan ventes'!F44)+'Plan ventes'!F17)/('Plan ventes'!F13+'Plan ventes'!F36))</f>
        <v/>
      </c>
      <c r="G34" s="168">
        <f>IF('Plan ventes'!G13+'Plan ventes'!G36=0,0,(0.5*('Plan ventes'!G24+'Plan ventes'!G44)+'Plan ventes'!G17)/('Plan ventes'!G13+'Plan ventes'!G36))</f>
        <v/>
      </c>
      <c r="H34" s="168">
        <f>IF('Plan ventes'!H13+'Plan ventes'!H36=0,0,(0.5*('Plan ventes'!H24+'Plan ventes'!H44)+'Plan ventes'!H17)/('Plan ventes'!H13+'Plan ventes'!H36))</f>
        <v/>
      </c>
      <c r="I34" s="168">
        <f>IF('Plan ventes'!I13+'Plan ventes'!I36=0,0,(0.5*('Plan ventes'!I24+'Plan ventes'!I44)+'Plan ventes'!I17)/('Plan ventes'!I13+'Plan ventes'!I36))</f>
        <v/>
      </c>
      <c r="J34" s="168">
        <f>IF('Plan ventes'!J13+'Plan ventes'!J36=0,0,(0.5*('Plan ventes'!J24+'Plan ventes'!J44)+'Plan ventes'!J17)/('Plan ventes'!J13+'Plan ventes'!J36))</f>
        <v/>
      </c>
      <c r="K34" s="168">
        <f>IF('Plan ventes'!K13+'Plan ventes'!K36=0,0,(0.5*('Plan ventes'!K24+'Plan ventes'!K44)+'Plan ventes'!K17)/('Plan ventes'!K13+'Plan ventes'!K36))</f>
        <v/>
      </c>
      <c r="L34" s="168">
        <f>IF('Plan ventes'!L13+'Plan ventes'!L36=0,0,(0.5*('Plan ventes'!L24+'Plan ventes'!L44)+'Plan ventes'!L17)/('Plan ventes'!L13+'Plan ventes'!L36))</f>
        <v/>
      </c>
      <c r="M34" s="168">
        <f>IF('Plan ventes'!M13+'Plan ventes'!M36=0,0,(0.5*('Plan ventes'!M24+'Plan ventes'!M44)+'Plan ventes'!M17)/('Plan ventes'!M13+'Plan ventes'!M36))</f>
        <v/>
      </c>
      <c r="N34" s="168">
        <f>IF('Plan ventes'!N13+'Plan ventes'!N36=0,0,(0.5*('Plan ventes'!N24+'Plan ventes'!N44)+'Plan ventes'!N17)/('Plan ventes'!N13+'Plan ventes'!N36))</f>
        <v/>
      </c>
      <c r="O34" s="168">
        <f>IF('Plan ventes'!O13+'Plan ventes'!O36=0,0,(0.5*('Plan ventes'!O24+'Plan ventes'!O44)+'Plan ventes'!O17)/('Plan ventes'!O13+'Plan ventes'!O36))</f>
        <v/>
      </c>
      <c r="P34" s="168">
        <f>IF('Plan ventes'!P13+'Plan ventes'!P36=0,0,(0.5*('Plan ventes'!P24+'Plan ventes'!P44)+'Plan ventes'!P17)/('Plan ventes'!P13+'Plan ventes'!P36))</f>
        <v/>
      </c>
      <c r="Q34" s="168">
        <f>IF('Plan ventes'!Q13+'Plan ventes'!Q36=0,0,(0.5*('Plan ventes'!Q24+'Plan ventes'!Q44)+'Plan ventes'!Q17)/('Plan ventes'!Q13+'Plan ventes'!Q36))</f>
        <v/>
      </c>
      <c r="R34" s="168">
        <f>IF('Plan ventes'!R13+'Plan ventes'!R36=0,0,(0.5*('Plan ventes'!R24+'Plan ventes'!R44)+'Plan ventes'!R17)/('Plan ventes'!R13+'Plan ventes'!R36))</f>
        <v/>
      </c>
      <c r="S34" s="168">
        <f>IF('Plan ventes'!S13+'Plan ventes'!S36=0,0,(0.5*('Plan ventes'!S24+'Plan ventes'!S44)+'Plan ventes'!S17)/('Plan ventes'!S13+'Plan ventes'!S36))</f>
        <v/>
      </c>
      <c r="T34" s="168">
        <f>IF('Plan ventes'!T13+'Plan ventes'!T36=0,0,(0.5*('Plan ventes'!T24+'Plan ventes'!T44)+'Plan ventes'!T17)/('Plan ventes'!T13+'Plan ventes'!T36))</f>
        <v/>
      </c>
      <c r="U34" s="168">
        <f>IF('Plan ventes'!U13+'Plan ventes'!U36=0,0,(0.5*('Plan ventes'!U24+'Plan ventes'!U44)+'Plan ventes'!U17)/('Plan ventes'!U13+'Plan ventes'!U36))</f>
        <v/>
      </c>
      <c r="V34" s="168">
        <f>IF('Plan ventes'!V13+'Plan ventes'!V36=0,0,(0.5*('Plan ventes'!V24+'Plan ventes'!V44)+'Plan ventes'!V17)/('Plan ventes'!V13+'Plan ventes'!V36))</f>
        <v/>
      </c>
      <c r="W34" s="168">
        <f>IF('Plan ventes'!W13+'Plan ventes'!W36=0,0,(0.5*('Plan ventes'!W24+'Plan ventes'!W44)+'Plan ventes'!W17)/('Plan ventes'!W13+'Plan ventes'!W36))</f>
        <v/>
      </c>
      <c r="X34" s="168">
        <f>IF('Plan ventes'!X13+'Plan ventes'!X36=0,0,(0.5*('Plan ventes'!X24+'Plan ventes'!X44)+'Plan ventes'!X17)/('Plan ventes'!X13+'Plan ventes'!X36))</f>
        <v/>
      </c>
      <c r="Y34" s="168">
        <f>IF('Plan ventes'!Y13+'Plan ventes'!Y36=0,0,(0.5*('Plan ventes'!Y24+'Plan ventes'!Y44)+'Plan ventes'!Y17)/('Plan ventes'!Y13+'Plan ventes'!Y36))</f>
        <v/>
      </c>
      <c r="Z34" s="168">
        <f>IF('Plan ventes'!Z13+'Plan ventes'!Z36=0,0,(0.5*('Plan ventes'!Z24+'Plan ventes'!Z44)+'Plan ventes'!Z17)/('Plan ventes'!Z13+'Plan ventes'!Z36))</f>
        <v/>
      </c>
      <c r="AA34" s="168">
        <f>IF('Plan ventes'!AA13+'Plan ventes'!AA36=0,0,(0.5*('Plan ventes'!AA24+'Plan ventes'!AA44)+'Plan ventes'!AA17)/('Plan ventes'!AA13+'Plan ventes'!AA36))</f>
        <v/>
      </c>
      <c r="AB34" s="168">
        <f>IF('Plan ventes'!AB13+'Plan ventes'!AB36=0,0,(0.5*('Plan ventes'!AB24+'Plan ventes'!AB44)+'Plan ventes'!AB17)/('Plan ventes'!AB13+'Plan ventes'!AB36))</f>
        <v/>
      </c>
      <c r="AC34" s="168">
        <f>IF('Plan ventes'!AC13+'Plan ventes'!AC36=0,0,(0.5*('Plan ventes'!AC24+'Plan ventes'!AC44)+'Plan ventes'!AC17)/('Plan ventes'!AC13+'Plan ventes'!AC36))</f>
        <v/>
      </c>
      <c r="AD34" s="168">
        <f>IF('Plan ventes'!AD13+'Plan ventes'!AD36=0,0,(0.5*('Plan ventes'!AD24+'Plan ventes'!AD44)+'Plan ventes'!AD17)/('Plan ventes'!AD13+'Plan ventes'!AD36))</f>
        <v/>
      </c>
      <c r="AE34" s="168">
        <f>IF('Plan ventes'!AE13+'Plan ventes'!AE36=0,0,(0.5*('Plan ventes'!AE24+'Plan ventes'!AE44)+'Plan ventes'!AE17)/('Plan ventes'!AE13+'Plan ventes'!AE36))</f>
        <v/>
      </c>
      <c r="AF34" s="168">
        <f>IF('Plan ventes'!AF13+'Plan ventes'!AF36=0,0,(0.5*('Plan ventes'!AF24+'Plan ventes'!AF44)+'Plan ventes'!AF17)/('Plan ventes'!AF13+'Plan ventes'!AF36))</f>
        <v/>
      </c>
      <c r="AG34" s="168">
        <f>IF('Plan ventes'!AG13+'Plan ventes'!AG36=0,0,(0.5*('Plan ventes'!AG24+'Plan ventes'!AG44)+'Plan ventes'!AG17)/('Plan ventes'!AG13+'Plan ventes'!AG36))</f>
        <v/>
      </c>
      <c r="AH34" s="168">
        <f>IF('Plan ventes'!AH13+'Plan ventes'!AH36=0,0,(0.5*('Plan ventes'!AH24+'Plan ventes'!AH44)+'Plan ventes'!AH17)/('Plan ventes'!AH13+'Plan ventes'!AH36))</f>
        <v/>
      </c>
      <c r="AI34" s="168">
        <f>IF('Plan ventes'!AI13+'Plan ventes'!AI36=0,0,(0.5*('Plan ventes'!AI24+'Plan ventes'!AI44)+'Plan ventes'!AI17)/('Plan ventes'!AI13+'Plan ventes'!AI36))</f>
        <v/>
      </c>
      <c r="AJ34" s="168">
        <f>IF('Plan ventes'!AJ13+'Plan ventes'!AJ36=0,0,(0.5*('Plan ventes'!AJ24+'Plan ventes'!AJ44)+'Plan ventes'!AJ17)/('Plan ventes'!AJ13+'Plan ventes'!AJ36))</f>
        <v/>
      </c>
      <c r="AK34" s="168">
        <f>IF('Plan ventes'!AK13+'Plan ventes'!AK36=0,0,(0.5*('Plan ventes'!AK24+'Plan ventes'!AK44)+'Plan ventes'!AK17)/('Plan ventes'!AK13+'Plan ventes'!AK36))</f>
        <v/>
      </c>
    </row>
    <row r="35" s="143">
      <c r="A35" s="149" t="inlineStr">
        <is>
          <t>Durée de vie offre (mois) = MIN(36 ; 1 / churn prestataires)</t>
        </is>
      </c>
      <c r="B35" s="155">
        <f>MIN(36,IF(Parametres!$D$84=0,36,1/Parametres!$D$84))</f>
        <v/>
      </c>
      <c r="C35" s="155">
        <f>MIN(36,IF(Parametres!$D$84=0,36,1/Parametres!$D$84))</f>
        <v/>
      </c>
      <c r="D35" s="155">
        <f>MIN(36,IF(Parametres!$D$84=0,36,1/Parametres!$D$84))</f>
        <v/>
      </c>
      <c r="E35" s="155">
        <f>MIN(36,IF(Parametres!$D$84=0,36,1/Parametres!$D$84))</f>
        <v/>
      </c>
      <c r="F35" s="155">
        <f>MIN(36,IF(Parametres!$D$84=0,36,1/Parametres!$D$84))</f>
        <v/>
      </c>
      <c r="G35" s="155">
        <f>MIN(36,IF(Parametres!$D$84=0,36,1/Parametres!$D$84))</f>
        <v/>
      </c>
      <c r="H35" s="155">
        <f>MIN(36,IF(Parametres!$D$84=0,36,1/Parametres!$D$84))</f>
        <v/>
      </c>
      <c r="I35" s="155">
        <f>MIN(36,IF(Parametres!$D$84=0,36,1/Parametres!$D$84))</f>
        <v/>
      </c>
      <c r="J35" s="155">
        <f>MIN(36,IF(Parametres!$D$84=0,36,1/Parametres!$D$84))</f>
        <v/>
      </c>
      <c r="K35" s="155">
        <f>MIN(36,IF(Parametres!$D$84=0,36,1/Parametres!$D$84))</f>
        <v/>
      </c>
      <c r="L35" s="155">
        <f>MIN(36,IF(Parametres!$D$84=0,36,1/Parametres!$D$84))</f>
        <v/>
      </c>
      <c r="M35" s="155">
        <f>MIN(36,IF(Parametres!$D$84=0,36,1/Parametres!$D$84))</f>
        <v/>
      </c>
      <c r="N35" s="155">
        <f>MIN(36,IF(Parametres!$D$84=0,36,1/Parametres!$D$84))</f>
        <v/>
      </c>
      <c r="O35" s="155">
        <f>MIN(36,IF(Parametres!$D$84=0,36,1/Parametres!$D$84))</f>
        <v/>
      </c>
      <c r="P35" s="155">
        <f>MIN(36,IF(Parametres!$D$84=0,36,1/Parametres!$D$84))</f>
        <v/>
      </c>
      <c r="Q35" s="155">
        <f>MIN(36,IF(Parametres!$D$84=0,36,1/Parametres!$D$84))</f>
        <v/>
      </c>
      <c r="R35" s="155">
        <f>MIN(36,IF(Parametres!$D$84=0,36,1/Parametres!$D$84))</f>
        <v/>
      </c>
      <c r="S35" s="155">
        <f>MIN(36,IF(Parametres!$D$84=0,36,1/Parametres!$D$84))</f>
        <v/>
      </c>
      <c r="T35" s="155">
        <f>MIN(36,IF(Parametres!$D$84=0,36,1/Parametres!$D$84))</f>
        <v/>
      </c>
      <c r="U35" s="155">
        <f>MIN(36,IF(Parametres!$D$84=0,36,1/Parametres!$D$84))</f>
        <v/>
      </c>
      <c r="V35" s="155">
        <f>MIN(36,IF(Parametres!$D$84=0,36,1/Parametres!$D$84))</f>
        <v/>
      </c>
      <c r="W35" s="155">
        <f>MIN(36,IF(Parametres!$D$84=0,36,1/Parametres!$D$84))</f>
        <v/>
      </c>
      <c r="X35" s="155">
        <f>MIN(36,IF(Parametres!$D$84=0,36,1/Parametres!$D$84))</f>
        <v/>
      </c>
      <c r="Y35" s="155">
        <f>MIN(36,IF(Parametres!$D$84=0,36,1/Parametres!$D$84))</f>
        <v/>
      </c>
      <c r="Z35" s="155">
        <f>MIN(36,IF(Parametres!$D$84=0,36,1/Parametres!$D$84))</f>
        <v/>
      </c>
      <c r="AA35" s="155">
        <f>MIN(36,IF(Parametres!$D$84=0,36,1/Parametres!$D$84))</f>
        <v/>
      </c>
      <c r="AB35" s="155">
        <f>MIN(36,IF(Parametres!$D$84=0,36,1/Parametres!$D$84))</f>
        <v/>
      </c>
      <c r="AC35" s="155">
        <f>MIN(36,IF(Parametres!$D$84=0,36,1/Parametres!$D$84))</f>
        <v/>
      </c>
      <c r="AD35" s="155">
        <f>MIN(36,IF(Parametres!$D$84=0,36,1/Parametres!$D$84))</f>
        <v/>
      </c>
      <c r="AE35" s="155">
        <f>MIN(36,IF(Parametres!$D$84=0,36,1/Parametres!$D$84))</f>
        <v/>
      </c>
      <c r="AF35" s="155">
        <f>MIN(36,IF(Parametres!$D$84=0,36,1/Parametres!$D$84))</f>
        <v/>
      </c>
      <c r="AG35" s="155">
        <f>MIN(36,IF(Parametres!$D$84=0,36,1/Parametres!$D$84))</f>
        <v/>
      </c>
      <c r="AH35" s="155">
        <f>MIN(36,IF(Parametres!$D$84=0,36,1/Parametres!$D$84))</f>
        <v/>
      </c>
      <c r="AI35" s="155">
        <f>MIN(36,IF(Parametres!$D$84=0,36,1/Parametres!$D$84))</f>
        <v/>
      </c>
      <c r="AJ35" s="155">
        <f>MIN(36,IF(Parametres!$D$84=0,36,1/Parametres!$D$84))</f>
        <v/>
      </c>
      <c r="AK35" s="155">
        <f>MIN(36,IF(Parametres!$D$84=0,36,1/Parametres!$D$84))</f>
        <v/>
      </c>
    </row>
    <row r="36" s="143">
      <c r="A36" s="149" t="inlineStr">
        <is>
          <t>LTV offre (revenu mensuel × durée de vie bornée)</t>
        </is>
      </c>
      <c r="B36" s="176">
        <f>B34*B35</f>
        <v/>
      </c>
      <c r="C36" s="176">
        <f>C34*C35</f>
        <v/>
      </c>
      <c r="D36" s="176">
        <f>D34*D35</f>
        <v/>
      </c>
      <c r="E36" s="176">
        <f>E34*E35</f>
        <v/>
      </c>
      <c r="F36" s="176">
        <f>F34*F35</f>
        <v/>
      </c>
      <c r="G36" s="176">
        <f>G34*G35</f>
        <v/>
      </c>
      <c r="H36" s="176">
        <f>H34*H35</f>
        <v/>
      </c>
      <c r="I36" s="176">
        <f>I34*I35</f>
        <v/>
      </c>
      <c r="J36" s="176">
        <f>J34*J35</f>
        <v/>
      </c>
      <c r="K36" s="176">
        <f>K34*K35</f>
        <v/>
      </c>
      <c r="L36" s="176">
        <f>L34*L35</f>
        <v/>
      </c>
      <c r="M36" s="176">
        <f>M34*M35</f>
        <v/>
      </c>
      <c r="N36" s="176">
        <f>N34*N35</f>
        <v/>
      </c>
      <c r="O36" s="176">
        <f>O34*O35</f>
        <v/>
      </c>
      <c r="P36" s="176">
        <f>P34*P35</f>
        <v/>
      </c>
      <c r="Q36" s="176">
        <f>Q34*Q35</f>
        <v/>
      </c>
      <c r="R36" s="176">
        <f>R34*R35</f>
        <v/>
      </c>
      <c r="S36" s="176">
        <f>S34*S35</f>
        <v/>
      </c>
      <c r="T36" s="176">
        <f>T34*T35</f>
        <v/>
      </c>
      <c r="U36" s="176">
        <f>U34*U35</f>
        <v/>
      </c>
      <c r="V36" s="176">
        <f>V34*V35</f>
        <v/>
      </c>
      <c r="W36" s="176">
        <f>W34*W35</f>
        <v/>
      </c>
      <c r="X36" s="176">
        <f>X34*X35</f>
        <v/>
      </c>
      <c r="Y36" s="176">
        <f>Y34*Y35</f>
        <v/>
      </c>
      <c r="Z36" s="176">
        <f>Z34*Z35</f>
        <v/>
      </c>
      <c r="AA36" s="176">
        <f>AA34*AA35</f>
        <v/>
      </c>
      <c r="AB36" s="176">
        <f>AB34*AB35</f>
        <v/>
      </c>
      <c r="AC36" s="176">
        <f>AC34*AC35</f>
        <v/>
      </c>
      <c r="AD36" s="176">
        <f>AD34*AD35</f>
        <v/>
      </c>
      <c r="AE36" s="176">
        <f>AE34*AE35</f>
        <v/>
      </c>
      <c r="AF36" s="176">
        <f>AF34*AF35</f>
        <v/>
      </c>
      <c r="AG36" s="176">
        <f>AG34*AG35</f>
        <v/>
      </c>
      <c r="AH36" s="176">
        <f>AH34*AH35</f>
        <v/>
      </c>
      <c r="AI36" s="176">
        <f>AI34*AI35</f>
        <v/>
      </c>
      <c r="AJ36" s="176">
        <f>AJ34*AJ35</f>
        <v/>
      </c>
      <c r="AK36" s="176">
        <f>AK34*AK35</f>
        <v/>
      </c>
    </row>
    <row r="37" s="143">
      <c r="A37" s="149" t="inlineStr">
        <is>
          <t>LTV demande (vidéo : prix × MIN(36 ; 1/churn) ; transactionnel : 50 % commission par transaction × tx/client × durée de vie)</t>
        </is>
      </c>
      <c r="B37" s="168">
        <f>IF(B28=0,0,('Plan ventes'!B27*'Plan ventes'!B30*MIN(36,IF(Parametres!$D$25=0,36,1/Parametres!$D$25))+'Plan ventes'!B65*0.5*IF('Plan ventes'!B64=0,0,'Plan ventes'!B62/'Plan ventes'!B64)*Parametres!$D$73*Parametres!$D$74)/B28)</f>
        <v/>
      </c>
      <c r="C37" s="168">
        <f>IF(C28=0,0,('Plan ventes'!C27*'Plan ventes'!C30*MIN(36,IF(Parametres!$D$25=0,36,1/Parametres!$D$25))+'Plan ventes'!C65*0.5*IF('Plan ventes'!C64=0,0,'Plan ventes'!C62/'Plan ventes'!C64)*Parametres!$D$73*Parametres!$D$74)/C28)</f>
        <v/>
      </c>
      <c r="D37" s="168">
        <f>IF(D28=0,0,('Plan ventes'!D27*'Plan ventes'!D30*MIN(36,IF(Parametres!$D$25=0,36,1/Parametres!$D$25))+'Plan ventes'!D65*0.5*IF('Plan ventes'!D64=0,0,'Plan ventes'!D62/'Plan ventes'!D64)*Parametres!$D$73*Parametres!$D$74)/D28)</f>
        <v/>
      </c>
      <c r="E37" s="168">
        <f>IF(E28=0,0,('Plan ventes'!E27*'Plan ventes'!E30*MIN(36,IF(Parametres!$D$25=0,36,1/Parametres!$D$25))+'Plan ventes'!E65*0.5*IF('Plan ventes'!E64=0,0,'Plan ventes'!E62/'Plan ventes'!E64)*Parametres!$D$73*Parametres!$D$74)/E28)</f>
        <v/>
      </c>
      <c r="F37" s="168">
        <f>IF(F28=0,0,('Plan ventes'!F27*'Plan ventes'!F30*MIN(36,IF(Parametres!$D$25=0,36,1/Parametres!$D$25))+'Plan ventes'!F65*0.5*IF('Plan ventes'!F64=0,0,'Plan ventes'!F62/'Plan ventes'!F64)*Parametres!$D$73*Parametres!$D$74)/F28)</f>
        <v/>
      </c>
      <c r="G37" s="168">
        <f>IF(G28=0,0,('Plan ventes'!G27*'Plan ventes'!G30*MIN(36,IF(Parametres!$D$25=0,36,1/Parametres!$D$25))+'Plan ventes'!G65*0.5*IF('Plan ventes'!G64=0,0,'Plan ventes'!G62/'Plan ventes'!G64)*Parametres!$D$73*Parametres!$D$74)/G28)</f>
        <v/>
      </c>
      <c r="H37" s="168">
        <f>IF(H28=0,0,('Plan ventes'!H27*'Plan ventes'!H30*MIN(36,IF(Parametres!$D$25=0,36,1/Parametres!$D$25))+'Plan ventes'!H65*0.5*IF('Plan ventes'!H64=0,0,'Plan ventes'!H62/'Plan ventes'!H64)*Parametres!$D$73*Parametres!$D$74)/H28)</f>
        <v/>
      </c>
      <c r="I37" s="168">
        <f>IF(I28=0,0,('Plan ventes'!I27*'Plan ventes'!I30*MIN(36,IF(Parametres!$D$25=0,36,1/Parametres!$D$25))+'Plan ventes'!I65*0.5*IF('Plan ventes'!I64=0,0,'Plan ventes'!I62/'Plan ventes'!I64)*Parametres!$D$73*Parametres!$D$74)/I28)</f>
        <v/>
      </c>
      <c r="J37" s="168">
        <f>IF(J28=0,0,('Plan ventes'!J27*'Plan ventes'!J30*MIN(36,IF(Parametres!$D$25=0,36,1/Parametres!$D$25))+'Plan ventes'!J65*0.5*IF('Plan ventes'!J64=0,0,'Plan ventes'!J62/'Plan ventes'!J64)*Parametres!$D$73*Parametres!$D$74)/J28)</f>
        <v/>
      </c>
      <c r="K37" s="168">
        <f>IF(K28=0,0,('Plan ventes'!K27*'Plan ventes'!K30*MIN(36,IF(Parametres!$D$25=0,36,1/Parametres!$D$25))+'Plan ventes'!K65*0.5*IF('Plan ventes'!K64=0,0,'Plan ventes'!K62/'Plan ventes'!K64)*Parametres!$D$73*Parametres!$D$74)/K28)</f>
        <v/>
      </c>
      <c r="L37" s="168">
        <f>IF(L28=0,0,('Plan ventes'!L27*'Plan ventes'!L30*MIN(36,IF(Parametres!$D$25=0,36,1/Parametres!$D$25))+'Plan ventes'!L65*0.5*IF('Plan ventes'!L64=0,0,'Plan ventes'!L62/'Plan ventes'!L64)*Parametres!$D$73*Parametres!$D$74)/L28)</f>
        <v/>
      </c>
      <c r="M37" s="168">
        <f>IF(M28=0,0,('Plan ventes'!M27*'Plan ventes'!M30*MIN(36,IF(Parametres!$D$25=0,36,1/Parametres!$D$25))+'Plan ventes'!M65*0.5*IF('Plan ventes'!M64=0,0,'Plan ventes'!M62/'Plan ventes'!M64)*Parametres!$D$73*Parametres!$D$74)/M28)</f>
        <v/>
      </c>
      <c r="N37" s="168">
        <f>IF(N28=0,0,('Plan ventes'!N27*'Plan ventes'!N30*MIN(36,IF(Parametres!$D$25=0,36,1/Parametres!$D$25))+'Plan ventes'!N65*0.5*IF('Plan ventes'!N64=0,0,'Plan ventes'!N62/'Plan ventes'!N64)*Parametres!$D$73*Parametres!$D$74)/N28)</f>
        <v/>
      </c>
      <c r="O37" s="168">
        <f>IF(O28=0,0,('Plan ventes'!O27*'Plan ventes'!O30*MIN(36,IF(Parametres!$D$25=0,36,1/Parametres!$D$25))+'Plan ventes'!O65*0.5*IF('Plan ventes'!O64=0,0,'Plan ventes'!O62/'Plan ventes'!O64)*Parametres!$D$73*Parametres!$D$74)/O28)</f>
        <v/>
      </c>
      <c r="P37" s="168">
        <f>IF(P28=0,0,('Plan ventes'!P27*'Plan ventes'!P30*MIN(36,IF(Parametres!$D$25=0,36,1/Parametres!$D$25))+'Plan ventes'!P65*0.5*IF('Plan ventes'!P64=0,0,'Plan ventes'!P62/'Plan ventes'!P64)*Parametres!$D$73*Parametres!$D$74)/P28)</f>
        <v/>
      </c>
      <c r="Q37" s="168">
        <f>IF(Q28=0,0,('Plan ventes'!Q27*'Plan ventes'!Q30*MIN(36,IF(Parametres!$D$25=0,36,1/Parametres!$D$25))+'Plan ventes'!Q65*0.5*IF('Plan ventes'!Q64=0,0,'Plan ventes'!Q62/'Plan ventes'!Q64)*Parametres!$D$73*Parametres!$D$74)/Q28)</f>
        <v/>
      </c>
      <c r="R37" s="168">
        <f>IF(R28=0,0,('Plan ventes'!R27*'Plan ventes'!R30*MIN(36,IF(Parametres!$D$25=0,36,1/Parametres!$D$25))+'Plan ventes'!R65*0.5*IF('Plan ventes'!R64=0,0,'Plan ventes'!R62/'Plan ventes'!R64)*Parametres!$D$73*Parametres!$D$74)/R28)</f>
        <v/>
      </c>
      <c r="S37" s="168">
        <f>IF(S28=0,0,('Plan ventes'!S27*'Plan ventes'!S30*MIN(36,IF(Parametres!$D$25=0,36,1/Parametres!$D$25))+'Plan ventes'!S65*0.5*IF('Plan ventes'!S64=0,0,'Plan ventes'!S62/'Plan ventes'!S64)*Parametres!$D$73*Parametres!$D$74)/S28)</f>
        <v/>
      </c>
      <c r="T37" s="168">
        <f>IF(T28=0,0,('Plan ventes'!T27*'Plan ventes'!T30*MIN(36,IF(Parametres!$D$25=0,36,1/Parametres!$D$25))+'Plan ventes'!T65*0.5*IF('Plan ventes'!T64=0,0,'Plan ventes'!T62/'Plan ventes'!T64)*Parametres!$D$73*Parametres!$D$74)/T28)</f>
        <v/>
      </c>
      <c r="U37" s="168">
        <f>IF(U28=0,0,('Plan ventes'!U27*'Plan ventes'!U30*MIN(36,IF(Parametres!$D$25=0,36,1/Parametres!$D$25))+'Plan ventes'!U65*0.5*IF('Plan ventes'!U64=0,0,'Plan ventes'!U62/'Plan ventes'!U64)*Parametres!$D$73*Parametres!$D$74)/U28)</f>
        <v/>
      </c>
      <c r="V37" s="168">
        <f>IF(V28=0,0,('Plan ventes'!V27*'Plan ventes'!V30*MIN(36,IF(Parametres!$D$25=0,36,1/Parametres!$D$25))+'Plan ventes'!V65*0.5*IF('Plan ventes'!V64=0,0,'Plan ventes'!V62/'Plan ventes'!V64)*Parametres!$D$73*Parametres!$D$74)/V28)</f>
        <v/>
      </c>
      <c r="W37" s="168">
        <f>IF(W28=0,0,('Plan ventes'!W27*'Plan ventes'!W30*MIN(36,IF(Parametres!$D$25=0,36,1/Parametres!$D$25))+'Plan ventes'!W65*0.5*IF('Plan ventes'!W64=0,0,'Plan ventes'!W62/'Plan ventes'!W64)*Parametres!$D$73*Parametres!$D$74)/W28)</f>
        <v/>
      </c>
      <c r="X37" s="168">
        <f>IF(X28=0,0,('Plan ventes'!X27*'Plan ventes'!X30*MIN(36,IF(Parametres!$D$25=0,36,1/Parametres!$D$25))+'Plan ventes'!X65*0.5*IF('Plan ventes'!X64=0,0,'Plan ventes'!X62/'Plan ventes'!X64)*Parametres!$D$73*Parametres!$D$74)/X28)</f>
        <v/>
      </c>
      <c r="Y37" s="168">
        <f>IF(Y28=0,0,('Plan ventes'!Y27*'Plan ventes'!Y30*MIN(36,IF(Parametres!$D$25=0,36,1/Parametres!$D$25))+'Plan ventes'!Y65*0.5*IF('Plan ventes'!Y64=0,0,'Plan ventes'!Y62/'Plan ventes'!Y64)*Parametres!$D$73*Parametres!$D$74)/Y28)</f>
        <v/>
      </c>
      <c r="Z37" s="168">
        <f>IF(Z28=0,0,('Plan ventes'!Z27*'Plan ventes'!Z30*MIN(36,IF(Parametres!$D$25=0,36,1/Parametres!$D$25))+'Plan ventes'!Z65*0.5*IF('Plan ventes'!Z64=0,0,'Plan ventes'!Z62/'Plan ventes'!Z64)*Parametres!$D$73*Parametres!$D$74)/Z28)</f>
        <v/>
      </c>
      <c r="AA37" s="168">
        <f>IF(AA28=0,0,('Plan ventes'!AA27*'Plan ventes'!AA30*MIN(36,IF(Parametres!$D$25=0,36,1/Parametres!$D$25))+'Plan ventes'!AA65*0.5*IF('Plan ventes'!AA64=0,0,'Plan ventes'!AA62/'Plan ventes'!AA64)*Parametres!$D$73*Parametres!$D$74)/AA28)</f>
        <v/>
      </c>
      <c r="AB37" s="168">
        <f>IF(AB28=0,0,('Plan ventes'!AB27*'Plan ventes'!AB30*MIN(36,IF(Parametres!$D$25=0,36,1/Parametres!$D$25))+'Plan ventes'!AB65*0.5*IF('Plan ventes'!AB64=0,0,'Plan ventes'!AB62/'Plan ventes'!AB64)*Parametres!$D$73*Parametres!$D$74)/AB28)</f>
        <v/>
      </c>
      <c r="AC37" s="168">
        <f>IF(AC28=0,0,('Plan ventes'!AC27*'Plan ventes'!AC30*MIN(36,IF(Parametres!$D$25=0,36,1/Parametres!$D$25))+'Plan ventes'!AC65*0.5*IF('Plan ventes'!AC64=0,0,'Plan ventes'!AC62/'Plan ventes'!AC64)*Parametres!$D$73*Parametres!$D$74)/AC28)</f>
        <v/>
      </c>
      <c r="AD37" s="168">
        <f>IF(AD28=0,0,('Plan ventes'!AD27*'Plan ventes'!AD30*MIN(36,IF(Parametres!$D$25=0,36,1/Parametres!$D$25))+'Plan ventes'!AD65*0.5*IF('Plan ventes'!AD64=0,0,'Plan ventes'!AD62/'Plan ventes'!AD64)*Parametres!$D$73*Parametres!$D$74)/AD28)</f>
        <v/>
      </c>
      <c r="AE37" s="168">
        <f>IF(AE28=0,0,('Plan ventes'!AE27*'Plan ventes'!AE30*MIN(36,IF(Parametres!$D$25=0,36,1/Parametres!$D$25))+'Plan ventes'!AE65*0.5*IF('Plan ventes'!AE64=0,0,'Plan ventes'!AE62/'Plan ventes'!AE64)*Parametres!$D$73*Parametres!$D$74)/AE28)</f>
        <v/>
      </c>
      <c r="AF37" s="168">
        <f>IF(AF28=0,0,('Plan ventes'!AF27*'Plan ventes'!AF30*MIN(36,IF(Parametres!$D$25=0,36,1/Parametres!$D$25))+'Plan ventes'!AF65*0.5*IF('Plan ventes'!AF64=0,0,'Plan ventes'!AF62/'Plan ventes'!AF64)*Parametres!$D$73*Parametres!$D$74)/AF28)</f>
        <v/>
      </c>
      <c r="AG37" s="168">
        <f>IF(AG28=0,0,('Plan ventes'!AG27*'Plan ventes'!AG30*MIN(36,IF(Parametres!$D$25=0,36,1/Parametres!$D$25))+'Plan ventes'!AG65*0.5*IF('Plan ventes'!AG64=0,0,'Plan ventes'!AG62/'Plan ventes'!AG64)*Parametres!$D$73*Parametres!$D$74)/AG28)</f>
        <v/>
      </c>
      <c r="AH37" s="168">
        <f>IF(AH28=0,0,('Plan ventes'!AH27*'Plan ventes'!AH30*MIN(36,IF(Parametres!$D$25=0,36,1/Parametres!$D$25))+'Plan ventes'!AH65*0.5*IF('Plan ventes'!AH64=0,0,'Plan ventes'!AH62/'Plan ventes'!AH64)*Parametres!$D$73*Parametres!$D$74)/AH28)</f>
        <v/>
      </c>
      <c r="AI37" s="168">
        <f>IF(AI28=0,0,('Plan ventes'!AI27*'Plan ventes'!AI30*MIN(36,IF(Parametres!$D$25=0,36,1/Parametres!$D$25))+'Plan ventes'!AI65*0.5*IF('Plan ventes'!AI64=0,0,'Plan ventes'!AI62/'Plan ventes'!AI64)*Parametres!$D$73*Parametres!$D$74)/AI28)</f>
        <v/>
      </c>
      <c r="AJ37" s="168">
        <f>IF(AJ28=0,0,('Plan ventes'!AJ27*'Plan ventes'!AJ30*MIN(36,IF(Parametres!$D$25=0,36,1/Parametres!$D$25))+'Plan ventes'!AJ65*0.5*IF('Plan ventes'!AJ64=0,0,'Plan ventes'!AJ62/'Plan ventes'!AJ64)*Parametres!$D$73*Parametres!$D$74)/AJ28)</f>
        <v/>
      </c>
      <c r="AK37" s="168">
        <f>IF(AK28=0,0,('Plan ventes'!AK27*'Plan ventes'!AK30*MIN(36,IF(Parametres!$D$25=0,36,1/Parametres!$D$25))+'Plan ventes'!AK65*0.5*IF('Plan ventes'!AK64=0,0,'Plan ventes'!AK62/'Plan ventes'!AK64)*Parametres!$D$73*Parametres!$D$74)/AK28)</f>
        <v/>
      </c>
    </row>
    <row r="38" s="143">
      <c r="A38" s="149" t="inlineStr">
        <is>
          <t>LTV / CAC offre (cible indicative &gt; 3)</t>
        </is>
      </c>
      <c r="B38" s="179">
        <f>IF(B32=0,0,B36/B32)</f>
        <v/>
      </c>
      <c r="C38" s="179">
        <f>IF(C32=0,0,C36/C32)</f>
        <v/>
      </c>
      <c r="D38" s="179">
        <f>IF(D32=0,0,D36/D32)</f>
        <v/>
      </c>
      <c r="E38" s="179">
        <f>IF(E32=0,0,E36/E32)</f>
        <v/>
      </c>
      <c r="F38" s="179">
        <f>IF(F32=0,0,F36/F32)</f>
        <v/>
      </c>
      <c r="G38" s="179">
        <f>IF(G32=0,0,G36/G32)</f>
        <v/>
      </c>
      <c r="H38" s="179">
        <f>IF(H32=0,0,H36/H32)</f>
        <v/>
      </c>
      <c r="I38" s="179">
        <f>IF(I32=0,0,I36/I32)</f>
        <v/>
      </c>
      <c r="J38" s="179">
        <f>IF(J32=0,0,J36/J32)</f>
        <v/>
      </c>
      <c r="K38" s="179">
        <f>IF(K32=0,0,K36/K32)</f>
        <v/>
      </c>
      <c r="L38" s="179">
        <f>IF(L32=0,0,L36/L32)</f>
        <v/>
      </c>
      <c r="M38" s="179">
        <f>IF(M32=0,0,M36/M32)</f>
        <v/>
      </c>
      <c r="N38" s="179">
        <f>IF(N32=0,0,N36/N32)</f>
        <v/>
      </c>
      <c r="O38" s="179">
        <f>IF(O32=0,0,O36/O32)</f>
        <v/>
      </c>
      <c r="P38" s="179">
        <f>IF(P32=0,0,P36/P32)</f>
        <v/>
      </c>
      <c r="Q38" s="179">
        <f>IF(Q32=0,0,Q36/Q32)</f>
        <v/>
      </c>
      <c r="R38" s="179">
        <f>IF(R32=0,0,R36/R32)</f>
        <v/>
      </c>
      <c r="S38" s="179">
        <f>IF(S32=0,0,S36/S32)</f>
        <v/>
      </c>
      <c r="T38" s="179">
        <f>IF(T32=0,0,T36/T32)</f>
        <v/>
      </c>
      <c r="U38" s="179">
        <f>IF(U32=0,0,U36/U32)</f>
        <v/>
      </c>
      <c r="V38" s="179">
        <f>IF(V32=0,0,V36/V32)</f>
        <v/>
      </c>
      <c r="W38" s="179">
        <f>IF(W32=0,0,W36/W32)</f>
        <v/>
      </c>
      <c r="X38" s="179">
        <f>IF(X32=0,0,X36/X32)</f>
        <v/>
      </c>
      <c r="Y38" s="179">
        <f>IF(Y32=0,0,Y36/Y32)</f>
        <v/>
      </c>
      <c r="Z38" s="179">
        <f>IF(Z32=0,0,Z36/Z32)</f>
        <v/>
      </c>
      <c r="AA38" s="179">
        <f>IF(AA32=0,0,AA36/AA32)</f>
        <v/>
      </c>
      <c r="AB38" s="179">
        <f>IF(AB32=0,0,AB36/AB32)</f>
        <v/>
      </c>
      <c r="AC38" s="179">
        <f>IF(AC32=0,0,AC36/AC32)</f>
        <v/>
      </c>
      <c r="AD38" s="179">
        <f>IF(AD32=0,0,AD36/AD32)</f>
        <v/>
      </c>
      <c r="AE38" s="179">
        <f>IF(AE32=0,0,AE36/AE32)</f>
        <v/>
      </c>
      <c r="AF38" s="179">
        <f>IF(AF32=0,0,AF36/AF32)</f>
        <v/>
      </c>
      <c r="AG38" s="179">
        <f>IF(AG32=0,0,AG36/AG32)</f>
        <v/>
      </c>
      <c r="AH38" s="179">
        <f>IF(AH32=0,0,AH36/AH32)</f>
        <v/>
      </c>
      <c r="AI38" s="179">
        <f>IF(AI32=0,0,AI36/AI32)</f>
        <v/>
      </c>
      <c r="AJ38" s="179">
        <f>IF(AJ32=0,0,AJ36/AJ32)</f>
        <v/>
      </c>
      <c r="AK38" s="179">
        <f>IF(AK32=0,0,AK36/AK32)</f>
        <v/>
      </c>
    </row>
    <row r="39" s="143">
      <c r="A39" s="149" t="inlineStr">
        <is>
          <t>LTV / CAC demande (cible indicative &gt; 3)</t>
        </is>
      </c>
      <c r="B39" s="179">
        <f>IF(B33=0,0,B37/B33)</f>
        <v/>
      </c>
      <c r="C39" s="179">
        <f>IF(C33=0,0,C37/C33)</f>
        <v/>
      </c>
      <c r="D39" s="179">
        <f>IF(D33=0,0,D37/D33)</f>
        <v/>
      </c>
      <c r="E39" s="179">
        <f>IF(E33=0,0,E37/E33)</f>
        <v/>
      </c>
      <c r="F39" s="179">
        <f>IF(F33=0,0,F37/F33)</f>
        <v/>
      </c>
      <c r="G39" s="179">
        <f>IF(G33=0,0,G37/G33)</f>
        <v/>
      </c>
      <c r="H39" s="179">
        <f>IF(H33=0,0,H37/H33)</f>
        <v/>
      </c>
      <c r="I39" s="179">
        <f>IF(I33=0,0,I37/I33)</f>
        <v/>
      </c>
      <c r="J39" s="179">
        <f>IF(J33=0,0,J37/J33)</f>
        <v/>
      </c>
      <c r="K39" s="179">
        <f>IF(K33=0,0,K37/K33)</f>
        <v/>
      </c>
      <c r="L39" s="179">
        <f>IF(L33=0,0,L37/L33)</f>
        <v/>
      </c>
      <c r="M39" s="179">
        <f>IF(M33=0,0,M37/M33)</f>
        <v/>
      </c>
      <c r="N39" s="179">
        <f>IF(N33=0,0,N37/N33)</f>
        <v/>
      </c>
      <c r="O39" s="179">
        <f>IF(O33=0,0,O37/O33)</f>
        <v/>
      </c>
      <c r="P39" s="179">
        <f>IF(P33=0,0,P37/P33)</f>
        <v/>
      </c>
      <c r="Q39" s="179">
        <f>IF(Q33=0,0,Q37/Q33)</f>
        <v/>
      </c>
      <c r="R39" s="179">
        <f>IF(R33=0,0,R37/R33)</f>
        <v/>
      </c>
      <c r="S39" s="179">
        <f>IF(S33=0,0,S37/S33)</f>
        <v/>
      </c>
      <c r="T39" s="179">
        <f>IF(T33=0,0,T37/T33)</f>
        <v/>
      </c>
      <c r="U39" s="179">
        <f>IF(U33=0,0,U37/U33)</f>
        <v/>
      </c>
      <c r="V39" s="179">
        <f>IF(V33=0,0,V37/V33)</f>
        <v/>
      </c>
      <c r="W39" s="179">
        <f>IF(W33=0,0,W37/W33)</f>
        <v/>
      </c>
      <c r="X39" s="179">
        <f>IF(X33=0,0,X37/X33)</f>
        <v/>
      </c>
      <c r="Y39" s="179">
        <f>IF(Y33=0,0,Y37/Y33)</f>
        <v/>
      </c>
      <c r="Z39" s="179">
        <f>IF(Z33=0,0,Z37/Z33)</f>
        <v/>
      </c>
      <c r="AA39" s="179">
        <f>IF(AA33=0,0,AA37/AA33)</f>
        <v/>
      </c>
      <c r="AB39" s="179">
        <f>IF(AB33=0,0,AB37/AB33)</f>
        <v/>
      </c>
      <c r="AC39" s="179">
        <f>IF(AC33=0,0,AC37/AC33)</f>
        <v/>
      </c>
      <c r="AD39" s="179">
        <f>IF(AD33=0,0,AD37/AD33)</f>
        <v/>
      </c>
      <c r="AE39" s="179">
        <f>IF(AE33=0,0,AE37/AE33)</f>
        <v/>
      </c>
      <c r="AF39" s="179">
        <f>IF(AF33=0,0,AF37/AF33)</f>
        <v/>
      </c>
      <c r="AG39" s="179">
        <f>IF(AG33=0,0,AG37/AG33)</f>
        <v/>
      </c>
      <c r="AH39" s="179">
        <f>IF(AH33=0,0,AH37/AH33)</f>
        <v/>
      </c>
      <c r="AI39" s="179">
        <f>IF(AI33=0,0,AI37/AI33)</f>
        <v/>
      </c>
      <c r="AJ39" s="179">
        <f>IF(AJ33=0,0,AJ37/AJ33)</f>
        <v/>
      </c>
      <c r="AK39" s="179">
        <f>IF(AK33=0,0,AK37/AK33)</f>
        <v/>
      </c>
    </row>
    <row r="40" s="143">
      <c r="A40" s="149" t="inlineStr">
        <is>
          <t>Payback CAC offre (mois) = CAC / revenu mensuel par prestataire</t>
        </is>
      </c>
      <c r="B40" s="202">
        <f>IF(B34=0,0,B32/B34)</f>
        <v/>
      </c>
      <c r="C40" s="202">
        <f>IF(C34=0,0,C32/C34)</f>
        <v/>
      </c>
      <c r="D40" s="202">
        <f>IF(D34=0,0,D32/D34)</f>
        <v/>
      </c>
      <c r="E40" s="202">
        <f>IF(E34=0,0,E32/E34)</f>
        <v/>
      </c>
      <c r="F40" s="202">
        <f>IF(F34=0,0,F32/F34)</f>
        <v/>
      </c>
      <c r="G40" s="202">
        <f>IF(G34=0,0,G32/G34)</f>
        <v/>
      </c>
      <c r="H40" s="202">
        <f>IF(H34=0,0,H32/H34)</f>
        <v/>
      </c>
      <c r="I40" s="202">
        <f>IF(I34=0,0,I32/I34)</f>
        <v/>
      </c>
      <c r="J40" s="202">
        <f>IF(J34=0,0,J32/J34)</f>
        <v/>
      </c>
      <c r="K40" s="202">
        <f>IF(K34=0,0,K32/K34)</f>
        <v/>
      </c>
      <c r="L40" s="202">
        <f>IF(L34=0,0,L32/L34)</f>
        <v/>
      </c>
      <c r="M40" s="202">
        <f>IF(M34=0,0,M32/M34)</f>
        <v/>
      </c>
      <c r="N40" s="202">
        <f>IF(N34=0,0,N32/N34)</f>
        <v/>
      </c>
      <c r="O40" s="202">
        <f>IF(O34=0,0,O32/O34)</f>
        <v/>
      </c>
      <c r="P40" s="202">
        <f>IF(P34=0,0,P32/P34)</f>
        <v/>
      </c>
      <c r="Q40" s="202">
        <f>IF(Q34=0,0,Q32/Q34)</f>
        <v/>
      </c>
      <c r="R40" s="202">
        <f>IF(R34=0,0,R32/R34)</f>
        <v/>
      </c>
      <c r="S40" s="202">
        <f>IF(S34=0,0,S32/S34)</f>
        <v/>
      </c>
      <c r="T40" s="202">
        <f>IF(T34=0,0,T32/T34)</f>
        <v/>
      </c>
      <c r="U40" s="202">
        <f>IF(U34=0,0,U32/U34)</f>
        <v/>
      </c>
      <c r="V40" s="202">
        <f>IF(V34=0,0,V32/V34)</f>
        <v/>
      </c>
      <c r="W40" s="202">
        <f>IF(W34=0,0,W32/W34)</f>
        <v/>
      </c>
      <c r="X40" s="202">
        <f>IF(X34=0,0,X32/X34)</f>
        <v/>
      </c>
      <c r="Y40" s="202">
        <f>IF(Y34=0,0,Y32/Y34)</f>
        <v/>
      </c>
      <c r="Z40" s="202">
        <f>IF(Z34=0,0,Z32/Z34)</f>
        <v/>
      </c>
      <c r="AA40" s="202">
        <f>IF(AA34=0,0,AA32/AA34)</f>
        <v/>
      </c>
      <c r="AB40" s="202">
        <f>IF(AB34=0,0,AB32/AB34)</f>
        <v/>
      </c>
      <c r="AC40" s="202">
        <f>IF(AC34=0,0,AC32/AC34)</f>
        <v/>
      </c>
      <c r="AD40" s="202">
        <f>IF(AD34=0,0,AD32/AD34)</f>
        <v/>
      </c>
      <c r="AE40" s="202">
        <f>IF(AE34=0,0,AE32/AE34)</f>
        <v/>
      </c>
      <c r="AF40" s="202">
        <f>IF(AF34=0,0,AF32/AF34)</f>
        <v/>
      </c>
      <c r="AG40" s="202">
        <f>IF(AG34=0,0,AG32/AG34)</f>
        <v/>
      </c>
      <c r="AH40" s="202">
        <f>IF(AH34=0,0,AH32/AH34)</f>
        <v/>
      </c>
      <c r="AI40" s="202">
        <f>IF(AI34=0,0,AI32/AI34)</f>
        <v/>
      </c>
      <c r="AJ40" s="202">
        <f>IF(AJ34=0,0,AJ32/AJ34)</f>
        <v/>
      </c>
      <c r="AK40" s="202">
        <f>IF(AK34=0,0,AK32/AK34)</f>
        <v/>
      </c>
    </row>
    <row r="41" s="143">
      <c r="A41" s="149" t="n"/>
      <c r="B41" s="149" t="n"/>
      <c r="C41" s="149" t="n"/>
      <c r="D41" s="149" t="n"/>
      <c r="E41" s="149" t="n"/>
      <c r="F41" s="149" t="n"/>
      <c r="G41" s="149" t="n"/>
      <c r="H41" s="149" t="n"/>
      <c r="I41" s="149" t="n"/>
      <c r="J41" s="149" t="n"/>
      <c r="K41" s="149" t="n"/>
      <c r="L41" s="149" t="n"/>
      <c r="M41" s="149" t="n"/>
      <c r="N41" s="149" t="n"/>
      <c r="O41" s="149" t="n"/>
      <c r="P41" s="149" t="n"/>
      <c r="Q41" s="149" t="n"/>
      <c r="R41" s="149" t="n"/>
      <c r="S41" s="149" t="n"/>
      <c r="T41" s="149" t="n"/>
      <c r="U41" s="149" t="n"/>
      <c r="V41" s="149" t="n"/>
      <c r="W41" s="149" t="n"/>
      <c r="X41" s="149" t="n"/>
      <c r="Y41" s="149" t="n"/>
      <c r="Z41" s="149" t="n"/>
      <c r="AA41" s="149" t="n"/>
      <c r="AB41" s="149" t="n"/>
      <c r="AC41" s="149" t="n"/>
      <c r="AD41" s="149" t="n"/>
      <c r="AE41" s="149" t="n"/>
      <c r="AF41" s="149" t="n"/>
      <c r="AG41" s="149" t="n"/>
      <c r="AH41" s="149" t="n"/>
      <c r="AI41" s="149" t="n"/>
      <c r="AJ41" s="149" t="n"/>
      <c r="AK41" s="149" t="n"/>
    </row>
    <row r="42" ht="18" customHeight="1" s="143">
      <c r="A42" s="150" t="inlineStr">
        <is>
          <t>TRÉSORERIE &amp; LIQUIDITÉ FINANCIÈRE</t>
        </is>
      </c>
      <c r="B42" s="150" t="n"/>
      <c r="C42" s="150" t="n"/>
      <c r="D42" s="150" t="n"/>
      <c r="E42" s="150" t="n"/>
      <c r="F42" s="150" t="n"/>
      <c r="G42" s="150" t="n"/>
      <c r="H42" s="150" t="n"/>
      <c r="I42" s="150" t="n"/>
      <c r="J42" s="150" t="n"/>
      <c r="K42" s="150" t="n"/>
      <c r="L42" s="150" t="n"/>
      <c r="M42" s="150" t="n"/>
      <c r="N42" s="150" t="n"/>
      <c r="O42" s="150" t="n"/>
      <c r="P42" s="150" t="n"/>
      <c r="Q42" s="150" t="n"/>
      <c r="R42" s="150" t="n"/>
      <c r="S42" s="150" t="n"/>
      <c r="T42" s="150" t="n"/>
      <c r="U42" s="150" t="n"/>
      <c r="V42" s="150" t="n"/>
      <c r="W42" s="150" t="n"/>
      <c r="X42" s="150" t="n"/>
      <c r="Y42" s="150" t="n"/>
      <c r="Z42" s="150" t="n"/>
      <c r="AA42" s="150" t="n"/>
      <c r="AB42" s="150" t="n"/>
      <c r="AC42" s="150" t="n"/>
      <c r="AD42" s="150" t="n"/>
      <c r="AE42" s="150" t="n"/>
      <c r="AF42" s="150" t="n"/>
      <c r="AG42" s="150" t="n"/>
      <c r="AH42" s="150" t="n"/>
      <c r="AI42" s="150" t="n"/>
      <c r="AJ42" s="150" t="n"/>
      <c r="AK42" s="150" t="n"/>
    </row>
    <row r="43" s="143">
      <c r="A43" s="149" t="inlineStr">
        <is>
          <t>Trésorerie de clôture</t>
        </is>
      </c>
      <c r="B43" s="168">
        <f>Tresorerie!D25</f>
        <v/>
      </c>
      <c r="C43" s="168">
        <f>Tresorerie!E25</f>
        <v/>
      </c>
      <c r="D43" s="168">
        <f>Tresorerie!F25</f>
        <v/>
      </c>
      <c r="E43" s="168">
        <f>Tresorerie!G25</f>
        <v/>
      </c>
      <c r="F43" s="168">
        <f>Tresorerie!H25</f>
        <v/>
      </c>
      <c r="G43" s="168">
        <f>Tresorerie!I25</f>
        <v/>
      </c>
      <c r="H43" s="168">
        <f>Tresorerie!J25</f>
        <v/>
      </c>
      <c r="I43" s="168">
        <f>Tresorerie!K25</f>
        <v/>
      </c>
      <c r="J43" s="168">
        <f>Tresorerie!L25</f>
        <v/>
      </c>
      <c r="K43" s="168">
        <f>Tresorerie!M25</f>
        <v/>
      </c>
      <c r="L43" s="168">
        <f>Tresorerie!N25</f>
        <v/>
      </c>
      <c r="M43" s="168">
        <f>Tresorerie!O25</f>
        <v/>
      </c>
      <c r="N43" s="168">
        <f>Tresorerie!P25</f>
        <v/>
      </c>
      <c r="O43" s="168">
        <f>Tresorerie!Q25</f>
        <v/>
      </c>
      <c r="P43" s="168">
        <f>Tresorerie!R25</f>
        <v/>
      </c>
      <c r="Q43" s="168">
        <f>Tresorerie!S25</f>
        <v/>
      </c>
      <c r="R43" s="168">
        <f>Tresorerie!T25</f>
        <v/>
      </c>
      <c r="S43" s="168">
        <f>Tresorerie!U25</f>
        <v/>
      </c>
      <c r="T43" s="168">
        <f>Tresorerie!V25</f>
        <v/>
      </c>
      <c r="U43" s="168">
        <f>Tresorerie!W25</f>
        <v/>
      </c>
      <c r="V43" s="168">
        <f>Tresorerie!X25</f>
        <v/>
      </c>
      <c r="W43" s="168">
        <f>Tresorerie!Y25</f>
        <v/>
      </c>
      <c r="X43" s="168">
        <f>Tresorerie!Z25</f>
        <v/>
      </c>
      <c r="Y43" s="168">
        <f>Tresorerie!AA25</f>
        <v/>
      </c>
      <c r="Z43" s="168">
        <f>Tresorerie!AB25</f>
        <v/>
      </c>
      <c r="AA43" s="168">
        <f>Tresorerie!AC25</f>
        <v/>
      </c>
      <c r="AB43" s="168">
        <f>Tresorerie!AD25</f>
        <v/>
      </c>
      <c r="AC43" s="168">
        <f>Tresorerie!AE25</f>
        <v/>
      </c>
      <c r="AD43" s="168">
        <f>Tresorerie!AF25</f>
        <v/>
      </c>
      <c r="AE43" s="168">
        <f>Tresorerie!AG25</f>
        <v/>
      </c>
      <c r="AF43" s="168">
        <f>Tresorerie!AH25</f>
        <v/>
      </c>
      <c r="AG43" s="168">
        <f>Tresorerie!AI25</f>
        <v/>
      </c>
      <c r="AH43" s="168">
        <f>Tresorerie!AJ25</f>
        <v/>
      </c>
      <c r="AI43" s="168">
        <f>Tresorerie!AK25</f>
        <v/>
      </c>
      <c r="AJ43" s="168">
        <f>Tresorerie!AL25</f>
        <v/>
      </c>
      <c r="AK43" s="168">
        <f>Tresorerie!AM25</f>
        <v/>
      </c>
    </row>
    <row r="44" s="143">
      <c r="A44" s="149" t="inlineStr">
        <is>
          <t>Burn net mensuel</t>
        </is>
      </c>
      <c r="B44" s="168">
        <f>Tresorerie!D27</f>
        <v/>
      </c>
      <c r="C44" s="168">
        <f>Tresorerie!E27</f>
        <v/>
      </c>
      <c r="D44" s="168">
        <f>Tresorerie!F27</f>
        <v/>
      </c>
      <c r="E44" s="168">
        <f>Tresorerie!G27</f>
        <v/>
      </c>
      <c r="F44" s="168">
        <f>Tresorerie!H27</f>
        <v/>
      </c>
      <c r="G44" s="168">
        <f>Tresorerie!I27</f>
        <v/>
      </c>
      <c r="H44" s="168">
        <f>Tresorerie!J27</f>
        <v/>
      </c>
      <c r="I44" s="168">
        <f>Tresorerie!K27</f>
        <v/>
      </c>
      <c r="J44" s="168">
        <f>Tresorerie!L27</f>
        <v/>
      </c>
      <c r="K44" s="168">
        <f>Tresorerie!M27</f>
        <v/>
      </c>
      <c r="L44" s="168">
        <f>Tresorerie!N27</f>
        <v/>
      </c>
      <c r="M44" s="168">
        <f>Tresorerie!O27</f>
        <v/>
      </c>
      <c r="N44" s="168">
        <f>Tresorerie!P27</f>
        <v/>
      </c>
      <c r="O44" s="168">
        <f>Tresorerie!Q27</f>
        <v/>
      </c>
      <c r="P44" s="168">
        <f>Tresorerie!R27</f>
        <v/>
      </c>
      <c r="Q44" s="168">
        <f>Tresorerie!S27</f>
        <v/>
      </c>
      <c r="R44" s="168">
        <f>Tresorerie!T27</f>
        <v/>
      </c>
      <c r="S44" s="168">
        <f>Tresorerie!U27</f>
        <v/>
      </c>
      <c r="T44" s="168">
        <f>Tresorerie!V27</f>
        <v/>
      </c>
      <c r="U44" s="168">
        <f>Tresorerie!W27</f>
        <v/>
      </c>
      <c r="V44" s="168">
        <f>Tresorerie!X27</f>
        <v/>
      </c>
      <c r="W44" s="168">
        <f>Tresorerie!Y27</f>
        <v/>
      </c>
      <c r="X44" s="168">
        <f>Tresorerie!Z27</f>
        <v/>
      </c>
      <c r="Y44" s="168">
        <f>Tresorerie!AA27</f>
        <v/>
      </c>
      <c r="Z44" s="168">
        <f>Tresorerie!AB27</f>
        <v/>
      </c>
      <c r="AA44" s="168">
        <f>Tresorerie!AC27</f>
        <v/>
      </c>
      <c r="AB44" s="168">
        <f>Tresorerie!AD27</f>
        <v/>
      </c>
      <c r="AC44" s="168">
        <f>Tresorerie!AE27</f>
        <v/>
      </c>
      <c r="AD44" s="168">
        <f>Tresorerie!AF27</f>
        <v/>
      </c>
      <c r="AE44" s="168">
        <f>Tresorerie!AG27</f>
        <v/>
      </c>
      <c r="AF44" s="168">
        <f>Tresorerie!AH27</f>
        <v/>
      </c>
      <c r="AG44" s="168">
        <f>Tresorerie!AI27</f>
        <v/>
      </c>
      <c r="AH44" s="168">
        <f>Tresorerie!AJ27</f>
        <v/>
      </c>
      <c r="AI44" s="168">
        <f>Tresorerie!AK27</f>
        <v/>
      </c>
      <c r="AJ44" s="168">
        <f>Tresorerie!AL27</f>
        <v/>
      </c>
      <c r="AK44" s="168">
        <f>Tresorerie!AM27</f>
        <v/>
      </c>
    </row>
    <row r="45" s="143">
      <c r="A45" s="149" t="inlineStr">
        <is>
          <t>Runway (mois)</t>
        </is>
      </c>
      <c r="B45" s="155">
        <f>Tresorerie!D28</f>
        <v/>
      </c>
      <c r="C45" s="155">
        <f>Tresorerie!E28</f>
        <v/>
      </c>
      <c r="D45" s="155">
        <f>Tresorerie!F28</f>
        <v/>
      </c>
      <c r="E45" s="155">
        <f>Tresorerie!G28</f>
        <v/>
      </c>
      <c r="F45" s="155">
        <f>Tresorerie!H28</f>
        <v/>
      </c>
      <c r="G45" s="155">
        <f>Tresorerie!I28</f>
        <v/>
      </c>
      <c r="H45" s="155">
        <f>Tresorerie!J28</f>
        <v/>
      </c>
      <c r="I45" s="155">
        <f>Tresorerie!K28</f>
        <v/>
      </c>
      <c r="J45" s="155">
        <f>Tresorerie!L28</f>
        <v/>
      </c>
      <c r="K45" s="155">
        <f>Tresorerie!M28</f>
        <v/>
      </c>
      <c r="L45" s="155">
        <f>Tresorerie!N28</f>
        <v/>
      </c>
      <c r="M45" s="155">
        <f>Tresorerie!O28</f>
        <v/>
      </c>
      <c r="N45" s="155">
        <f>Tresorerie!P28</f>
        <v/>
      </c>
      <c r="O45" s="155">
        <f>Tresorerie!Q28</f>
        <v/>
      </c>
      <c r="P45" s="155">
        <f>Tresorerie!R28</f>
        <v/>
      </c>
      <c r="Q45" s="155">
        <f>Tresorerie!S28</f>
        <v/>
      </c>
      <c r="R45" s="155">
        <f>Tresorerie!T28</f>
        <v/>
      </c>
      <c r="S45" s="155">
        <f>Tresorerie!U28</f>
        <v/>
      </c>
      <c r="T45" s="155">
        <f>Tresorerie!V28</f>
        <v/>
      </c>
      <c r="U45" s="155">
        <f>Tresorerie!W28</f>
        <v/>
      </c>
      <c r="V45" s="155">
        <f>Tresorerie!X28</f>
        <v/>
      </c>
      <c r="W45" s="155">
        <f>Tresorerie!Y28</f>
        <v/>
      </c>
      <c r="X45" s="155">
        <f>Tresorerie!Z28</f>
        <v/>
      </c>
      <c r="Y45" s="155">
        <f>Tresorerie!AA28</f>
        <v/>
      </c>
      <c r="Z45" s="155">
        <f>Tresorerie!AB28</f>
        <v/>
      </c>
      <c r="AA45" s="155">
        <f>Tresorerie!AC28</f>
        <v/>
      </c>
      <c r="AB45" s="155">
        <f>Tresorerie!AD28</f>
        <v/>
      </c>
      <c r="AC45" s="155">
        <f>Tresorerie!AE28</f>
        <v/>
      </c>
      <c r="AD45" s="155">
        <f>Tresorerie!AF28</f>
        <v/>
      </c>
      <c r="AE45" s="155">
        <f>Tresorerie!AG28</f>
        <v/>
      </c>
      <c r="AF45" s="155">
        <f>Tresorerie!AH28</f>
        <v/>
      </c>
      <c r="AG45" s="155">
        <f>Tresorerie!AI28</f>
        <v/>
      </c>
      <c r="AH45" s="155">
        <f>Tresorerie!AJ28</f>
        <v/>
      </c>
      <c r="AI45" s="155">
        <f>Tresorerie!AK28</f>
        <v/>
      </c>
      <c r="AJ45" s="155">
        <f>Tresorerie!AL28</f>
        <v/>
      </c>
      <c r="AK45" s="155">
        <f>Tresorerie!AM28</f>
        <v/>
      </c>
    </row>
    <row r="46" s="143">
      <c r="A46" s="149" t="inlineStr">
        <is>
          <t>Passif courant estimé (capital emprunt ≤ 12 mois + impôt de l'exercice)</t>
        </is>
      </c>
      <c r="B46" s="168">
        <f>MIN(Financement!C34,12*Financement!$C$31)+CHOOSE('P&amp;L'!B2,'P&amp;L'!$B$34,'P&amp;L'!$C$34,'P&amp;L'!$D$34)</f>
        <v/>
      </c>
      <c r="C46" s="168">
        <f>MIN(Financement!D34,12*Financement!$C$31)+CHOOSE('P&amp;L'!C2,'P&amp;L'!$B$34,'P&amp;L'!$C$34,'P&amp;L'!$D$34)</f>
        <v/>
      </c>
      <c r="D46" s="168">
        <f>MIN(Financement!E34,12*Financement!$C$31)+CHOOSE('P&amp;L'!D2,'P&amp;L'!$B$34,'P&amp;L'!$C$34,'P&amp;L'!$D$34)</f>
        <v/>
      </c>
      <c r="E46" s="168">
        <f>MIN(Financement!F34,12*Financement!$C$31)+CHOOSE('P&amp;L'!E2,'P&amp;L'!$B$34,'P&amp;L'!$C$34,'P&amp;L'!$D$34)</f>
        <v/>
      </c>
      <c r="F46" s="168">
        <f>MIN(Financement!G34,12*Financement!$C$31)+CHOOSE('P&amp;L'!F2,'P&amp;L'!$B$34,'P&amp;L'!$C$34,'P&amp;L'!$D$34)</f>
        <v/>
      </c>
      <c r="G46" s="168">
        <f>MIN(Financement!H34,12*Financement!$C$31)+CHOOSE('P&amp;L'!G2,'P&amp;L'!$B$34,'P&amp;L'!$C$34,'P&amp;L'!$D$34)</f>
        <v/>
      </c>
      <c r="H46" s="168">
        <f>MIN(Financement!I34,12*Financement!$C$31)+CHOOSE('P&amp;L'!H2,'P&amp;L'!$B$34,'P&amp;L'!$C$34,'P&amp;L'!$D$34)</f>
        <v/>
      </c>
      <c r="I46" s="168">
        <f>MIN(Financement!J34,12*Financement!$C$31)+CHOOSE('P&amp;L'!I2,'P&amp;L'!$B$34,'P&amp;L'!$C$34,'P&amp;L'!$D$34)</f>
        <v/>
      </c>
      <c r="J46" s="168">
        <f>MIN(Financement!K34,12*Financement!$C$31)+CHOOSE('P&amp;L'!J2,'P&amp;L'!$B$34,'P&amp;L'!$C$34,'P&amp;L'!$D$34)</f>
        <v/>
      </c>
      <c r="K46" s="168">
        <f>MIN(Financement!L34,12*Financement!$C$31)+CHOOSE('P&amp;L'!K2,'P&amp;L'!$B$34,'P&amp;L'!$C$34,'P&amp;L'!$D$34)</f>
        <v/>
      </c>
      <c r="L46" s="168">
        <f>MIN(Financement!M34,12*Financement!$C$31)+CHOOSE('P&amp;L'!L2,'P&amp;L'!$B$34,'P&amp;L'!$C$34,'P&amp;L'!$D$34)</f>
        <v/>
      </c>
      <c r="M46" s="168">
        <f>MIN(Financement!N34,12*Financement!$C$31)+CHOOSE('P&amp;L'!M2,'P&amp;L'!$B$34,'P&amp;L'!$C$34,'P&amp;L'!$D$34)</f>
        <v/>
      </c>
      <c r="N46" s="168">
        <f>MIN(Financement!O34,12*Financement!$C$31)+CHOOSE('P&amp;L'!N2,'P&amp;L'!$B$34,'P&amp;L'!$C$34,'P&amp;L'!$D$34)</f>
        <v/>
      </c>
      <c r="O46" s="168">
        <f>MIN(Financement!P34,12*Financement!$C$31)+CHOOSE('P&amp;L'!O2,'P&amp;L'!$B$34,'P&amp;L'!$C$34,'P&amp;L'!$D$34)</f>
        <v/>
      </c>
      <c r="P46" s="168">
        <f>MIN(Financement!Q34,12*Financement!$C$31)+CHOOSE('P&amp;L'!P2,'P&amp;L'!$B$34,'P&amp;L'!$C$34,'P&amp;L'!$D$34)</f>
        <v/>
      </c>
      <c r="Q46" s="168">
        <f>MIN(Financement!R34,12*Financement!$C$31)+CHOOSE('P&amp;L'!Q2,'P&amp;L'!$B$34,'P&amp;L'!$C$34,'P&amp;L'!$D$34)</f>
        <v/>
      </c>
      <c r="R46" s="168">
        <f>MIN(Financement!S34,12*Financement!$C$31)+CHOOSE('P&amp;L'!R2,'P&amp;L'!$B$34,'P&amp;L'!$C$34,'P&amp;L'!$D$34)</f>
        <v/>
      </c>
      <c r="S46" s="168">
        <f>MIN(Financement!T34,12*Financement!$C$31)+CHOOSE('P&amp;L'!S2,'P&amp;L'!$B$34,'P&amp;L'!$C$34,'P&amp;L'!$D$34)</f>
        <v/>
      </c>
      <c r="T46" s="168">
        <f>MIN(Financement!U34,12*Financement!$C$31)+CHOOSE('P&amp;L'!T2,'P&amp;L'!$B$34,'P&amp;L'!$C$34,'P&amp;L'!$D$34)</f>
        <v/>
      </c>
      <c r="U46" s="168">
        <f>MIN(Financement!V34,12*Financement!$C$31)+CHOOSE('P&amp;L'!U2,'P&amp;L'!$B$34,'P&amp;L'!$C$34,'P&amp;L'!$D$34)</f>
        <v/>
      </c>
      <c r="V46" s="168">
        <f>MIN(Financement!W34,12*Financement!$C$31)+CHOOSE('P&amp;L'!V2,'P&amp;L'!$B$34,'P&amp;L'!$C$34,'P&amp;L'!$D$34)</f>
        <v/>
      </c>
      <c r="W46" s="168">
        <f>MIN(Financement!X34,12*Financement!$C$31)+CHOOSE('P&amp;L'!W2,'P&amp;L'!$B$34,'P&amp;L'!$C$34,'P&amp;L'!$D$34)</f>
        <v/>
      </c>
      <c r="X46" s="168">
        <f>MIN(Financement!Y34,12*Financement!$C$31)+CHOOSE('P&amp;L'!X2,'P&amp;L'!$B$34,'P&amp;L'!$C$34,'P&amp;L'!$D$34)</f>
        <v/>
      </c>
      <c r="Y46" s="168">
        <f>MIN(Financement!Z34,12*Financement!$C$31)+CHOOSE('P&amp;L'!Y2,'P&amp;L'!$B$34,'P&amp;L'!$C$34,'P&amp;L'!$D$34)</f>
        <v/>
      </c>
      <c r="Z46" s="168">
        <f>MIN(Financement!AA34,12*Financement!$C$31)+CHOOSE('P&amp;L'!Z2,'P&amp;L'!$B$34,'P&amp;L'!$C$34,'P&amp;L'!$D$34)</f>
        <v/>
      </c>
      <c r="AA46" s="168">
        <f>MIN(Financement!AB34,12*Financement!$C$31)+CHOOSE('P&amp;L'!AA2,'P&amp;L'!$B$34,'P&amp;L'!$C$34,'P&amp;L'!$D$34)</f>
        <v/>
      </c>
      <c r="AB46" s="168">
        <f>MIN(Financement!AC34,12*Financement!$C$31)+CHOOSE('P&amp;L'!AB2,'P&amp;L'!$B$34,'P&amp;L'!$C$34,'P&amp;L'!$D$34)</f>
        <v/>
      </c>
      <c r="AC46" s="168">
        <f>MIN(Financement!AD34,12*Financement!$C$31)+CHOOSE('P&amp;L'!AC2,'P&amp;L'!$B$34,'P&amp;L'!$C$34,'P&amp;L'!$D$34)</f>
        <v/>
      </c>
      <c r="AD46" s="168">
        <f>MIN(Financement!AE34,12*Financement!$C$31)+CHOOSE('P&amp;L'!AD2,'P&amp;L'!$B$34,'P&amp;L'!$C$34,'P&amp;L'!$D$34)</f>
        <v/>
      </c>
      <c r="AE46" s="168">
        <f>MIN(Financement!AF34,12*Financement!$C$31)+CHOOSE('P&amp;L'!AE2,'P&amp;L'!$B$34,'P&amp;L'!$C$34,'P&amp;L'!$D$34)</f>
        <v/>
      </c>
      <c r="AF46" s="168">
        <f>MIN(Financement!AG34,12*Financement!$C$31)+CHOOSE('P&amp;L'!AF2,'P&amp;L'!$B$34,'P&amp;L'!$C$34,'P&amp;L'!$D$34)</f>
        <v/>
      </c>
      <c r="AG46" s="168">
        <f>MIN(Financement!AH34,12*Financement!$C$31)+CHOOSE('P&amp;L'!AG2,'P&amp;L'!$B$34,'P&amp;L'!$C$34,'P&amp;L'!$D$34)</f>
        <v/>
      </c>
      <c r="AH46" s="168">
        <f>MIN(Financement!AI34,12*Financement!$C$31)+CHOOSE('P&amp;L'!AH2,'P&amp;L'!$B$34,'P&amp;L'!$C$34,'P&amp;L'!$D$34)</f>
        <v/>
      </c>
      <c r="AI46" s="168">
        <f>MIN(Financement!AJ34,12*Financement!$C$31)+CHOOSE('P&amp;L'!AI2,'P&amp;L'!$B$34,'P&amp;L'!$C$34,'P&amp;L'!$D$34)</f>
        <v/>
      </c>
      <c r="AJ46" s="168">
        <f>MIN(Financement!AK34,12*Financement!$C$31)+CHOOSE('P&amp;L'!AJ2,'P&amp;L'!$B$34,'P&amp;L'!$C$34,'P&amp;L'!$D$34)</f>
        <v/>
      </c>
      <c r="AK46" s="168">
        <f>MIN(Financement!AL34,12*Financement!$C$31)+CHOOSE('P&amp;L'!AK2,'P&amp;L'!$B$34,'P&amp;L'!$C$34,'P&amp;L'!$D$34)</f>
        <v/>
      </c>
    </row>
    <row r="47" s="143">
      <c r="A47" s="149" t="inlineStr">
        <is>
          <t>Taux de liquidité générale (trésorerie / passif courant)</t>
        </is>
      </c>
      <c r="B47" s="179">
        <f>IF(B46=0,"∞",B43/B46)</f>
        <v/>
      </c>
      <c r="C47" s="179">
        <f>IF(C46=0,"∞",C43/C46)</f>
        <v/>
      </c>
      <c r="D47" s="179">
        <f>IF(D46=0,"∞",D43/D46)</f>
        <v/>
      </c>
      <c r="E47" s="179">
        <f>IF(E46=0,"∞",E43/E46)</f>
        <v/>
      </c>
      <c r="F47" s="179">
        <f>IF(F46=0,"∞",F43/F46)</f>
        <v/>
      </c>
      <c r="G47" s="179">
        <f>IF(G46=0,"∞",G43/G46)</f>
        <v/>
      </c>
      <c r="H47" s="179">
        <f>IF(H46=0,"∞",H43/H46)</f>
        <v/>
      </c>
      <c r="I47" s="179">
        <f>IF(I46=0,"∞",I43/I46)</f>
        <v/>
      </c>
      <c r="J47" s="179">
        <f>IF(J46=0,"∞",J43/J46)</f>
        <v/>
      </c>
      <c r="K47" s="179">
        <f>IF(K46=0,"∞",K43/K46)</f>
        <v/>
      </c>
      <c r="L47" s="179">
        <f>IF(L46=0,"∞",L43/L46)</f>
        <v/>
      </c>
      <c r="M47" s="179">
        <f>IF(M46=0,"∞",M43/M46)</f>
        <v/>
      </c>
      <c r="N47" s="179">
        <f>IF(N46=0,"∞",N43/N46)</f>
        <v/>
      </c>
      <c r="O47" s="179">
        <f>IF(O46=0,"∞",O43/O46)</f>
        <v/>
      </c>
      <c r="P47" s="179">
        <f>IF(P46=0,"∞",P43/P46)</f>
        <v/>
      </c>
      <c r="Q47" s="179">
        <f>IF(Q46=0,"∞",Q43/Q46)</f>
        <v/>
      </c>
      <c r="R47" s="179">
        <f>IF(R46=0,"∞",R43/R46)</f>
        <v/>
      </c>
      <c r="S47" s="179">
        <f>IF(S46=0,"∞",S43/S46)</f>
        <v/>
      </c>
      <c r="T47" s="179">
        <f>IF(T46=0,"∞",T43/T46)</f>
        <v/>
      </c>
      <c r="U47" s="179">
        <f>IF(U46=0,"∞",U43/U46)</f>
        <v/>
      </c>
      <c r="V47" s="179">
        <f>IF(V46=0,"∞",V43/V46)</f>
        <v/>
      </c>
      <c r="W47" s="179">
        <f>IF(W46=0,"∞",W43/W46)</f>
        <v/>
      </c>
      <c r="X47" s="179">
        <f>IF(X46=0,"∞",X43/X46)</f>
        <v/>
      </c>
      <c r="Y47" s="179">
        <f>IF(Y46=0,"∞",Y43/Y46)</f>
        <v/>
      </c>
      <c r="Z47" s="179">
        <f>IF(Z46=0,"∞",Z43/Z46)</f>
        <v/>
      </c>
      <c r="AA47" s="179">
        <f>IF(AA46=0,"∞",AA43/AA46)</f>
        <v/>
      </c>
      <c r="AB47" s="179">
        <f>IF(AB46=0,"∞",AB43/AB46)</f>
        <v/>
      </c>
      <c r="AC47" s="179">
        <f>IF(AC46=0,"∞",AC43/AC46)</f>
        <v/>
      </c>
      <c r="AD47" s="179">
        <f>IF(AD46=0,"∞",AD43/AD46)</f>
        <v/>
      </c>
      <c r="AE47" s="179">
        <f>IF(AE46=0,"∞",AE43/AE46)</f>
        <v/>
      </c>
      <c r="AF47" s="179">
        <f>IF(AF46=0,"∞",AF43/AF46)</f>
        <v/>
      </c>
      <c r="AG47" s="179">
        <f>IF(AG46=0,"∞",AG43/AG46)</f>
        <v/>
      </c>
      <c r="AH47" s="179">
        <f>IF(AH46=0,"∞",AH43/AH46)</f>
        <v/>
      </c>
      <c r="AI47" s="179">
        <f>IF(AI46=0,"∞",AI43/AI46)</f>
        <v/>
      </c>
      <c r="AJ47" s="179">
        <f>IF(AJ46=0,"∞",AJ43/AJ46)</f>
        <v/>
      </c>
      <c r="AK47" s="179">
        <f>IF(AK46=0,"∞",AK43/AK46)</f>
        <v/>
      </c>
    </row>
    <row r="48" s="143">
      <c r="A48" s="149" t="n"/>
      <c r="B48" s="149" t="n"/>
      <c r="C48" s="149" t="n"/>
      <c r="D48" s="149" t="n"/>
      <c r="E48" s="149" t="n"/>
      <c r="F48" s="149" t="n"/>
      <c r="G48" s="149" t="n"/>
      <c r="H48" s="149" t="n"/>
      <c r="I48" s="149" t="n"/>
      <c r="J48" s="149" t="n"/>
      <c r="K48" s="149" t="n"/>
      <c r="L48" s="149" t="n"/>
      <c r="M48" s="149" t="n"/>
      <c r="N48" s="149" t="n"/>
      <c r="O48" s="149" t="n"/>
      <c r="P48" s="149" t="n"/>
      <c r="Q48" s="149" t="n"/>
      <c r="R48" s="149" t="n"/>
      <c r="S48" s="149" t="n"/>
      <c r="T48" s="149" t="n"/>
      <c r="U48" s="149" t="n"/>
      <c r="V48" s="149" t="n"/>
      <c r="W48" s="149" t="n"/>
      <c r="X48" s="149" t="n"/>
      <c r="Y48" s="149" t="n"/>
      <c r="Z48" s="149" t="n"/>
      <c r="AA48" s="149" t="n"/>
      <c r="AB48" s="149" t="n"/>
      <c r="AC48" s="149" t="n"/>
      <c r="AD48" s="149" t="n"/>
      <c r="AE48" s="149" t="n"/>
      <c r="AF48" s="149" t="n"/>
      <c r="AG48" s="149" t="n"/>
      <c r="AH48" s="149" t="n"/>
      <c r="AI48" s="149" t="n"/>
      <c r="AJ48" s="149" t="n"/>
      <c r="AK48" s="149" t="n"/>
    </row>
    <row r="49" ht="18" customHeight="1" s="143">
      <c r="A49" s="150" t="inlineStr">
        <is>
          <t>SYNTHÈSE ANNUELLE</t>
        </is>
      </c>
      <c r="B49" s="150" t="n"/>
      <c r="C49" s="150" t="n"/>
      <c r="D49" s="150" t="n"/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0" t="n"/>
      <c r="Q49" s="150" t="n"/>
      <c r="R49" s="150" t="n"/>
      <c r="S49" s="150" t="n"/>
      <c r="T49" s="150" t="n"/>
      <c r="U49" s="150" t="n"/>
      <c r="V49" s="150" t="n"/>
      <c r="W49" s="150" t="n"/>
      <c r="X49" s="150" t="n"/>
      <c r="Y49" s="150" t="n"/>
      <c r="Z49" s="150" t="n"/>
      <c r="AA49" s="150" t="n"/>
      <c r="AB49" s="150" t="n"/>
      <c r="AC49" s="150" t="n"/>
      <c r="AD49" s="150" t="n"/>
      <c r="AE49" s="150" t="n"/>
      <c r="AF49" s="150" t="n"/>
      <c r="AG49" s="150" t="n"/>
      <c r="AH49" s="150" t="n"/>
      <c r="AI49" s="150" t="n"/>
      <c r="AJ49" s="150" t="n"/>
      <c r="AK49" s="150" t="n"/>
    </row>
    <row r="50" s="143">
      <c r="A50" s="162" t="n"/>
      <c r="B50" s="162" t="inlineStr">
        <is>
          <t>Année 1</t>
        </is>
      </c>
      <c r="C50" s="162" t="inlineStr">
        <is>
          <t>Année 2</t>
        </is>
      </c>
      <c r="D50" s="162" t="inlineStr">
        <is>
          <t>Année 3</t>
        </is>
      </c>
      <c r="E50" s="149" t="n"/>
      <c r="F50" s="149" t="n"/>
      <c r="G50" s="149" t="n"/>
      <c r="H50" s="149" t="n"/>
      <c r="I50" s="149" t="n"/>
      <c r="J50" s="149" t="n"/>
      <c r="K50" s="149" t="n"/>
      <c r="L50" s="149" t="n"/>
      <c r="M50" s="149" t="n"/>
      <c r="N50" s="149" t="n"/>
      <c r="O50" s="149" t="n"/>
      <c r="P50" s="149" t="n"/>
      <c r="Q50" s="149" t="n"/>
      <c r="R50" s="149" t="n"/>
      <c r="S50" s="149" t="n"/>
      <c r="T50" s="149" t="n"/>
      <c r="U50" s="149" t="n"/>
      <c r="V50" s="149" t="n"/>
      <c r="W50" s="149" t="n"/>
      <c r="X50" s="149" t="n"/>
      <c r="Y50" s="149" t="n"/>
      <c r="Z50" s="149" t="n"/>
      <c r="AA50" s="149" t="n"/>
      <c r="AB50" s="149" t="n"/>
      <c r="AC50" s="149" t="n"/>
      <c r="AD50" s="149" t="n"/>
      <c r="AE50" s="149" t="n"/>
      <c r="AF50" s="149" t="n"/>
      <c r="AG50" s="149" t="n"/>
      <c r="AH50" s="149" t="n"/>
      <c r="AI50" s="149" t="n"/>
      <c r="AJ50" s="149" t="n"/>
      <c r="AK50" s="149" t="n"/>
    </row>
    <row r="51" s="143">
      <c r="A51" s="149" t="inlineStr">
        <is>
          <t>GMV annuel</t>
        </is>
      </c>
      <c r="B51" s="176">
        <f>SUMIF($B$2:$AK$2,1,$B$6:$AK$6)</f>
        <v/>
      </c>
      <c r="C51" s="176">
        <f>SUMIF($B$2:$AK$2,2,$B$6:$AK$6)</f>
        <v/>
      </c>
      <c r="D51" s="176">
        <f>SUMIF($B$2:$AK$2,3,$B$6:$AK$6)</f>
        <v/>
      </c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149" t="n"/>
      <c r="O51" s="149" t="n"/>
      <c r="P51" s="149" t="n"/>
      <c r="Q51" s="149" t="n"/>
      <c r="R51" s="149" t="n"/>
      <c r="S51" s="149" t="n"/>
      <c r="T51" s="149" t="n"/>
      <c r="U51" s="149" t="n"/>
      <c r="V51" s="149" t="n"/>
      <c r="W51" s="149" t="n"/>
      <c r="X51" s="149" t="n"/>
      <c r="Y51" s="149" t="n"/>
      <c r="Z51" s="149" t="n"/>
      <c r="AA51" s="149" t="n"/>
      <c r="AB51" s="149" t="n"/>
      <c r="AC51" s="149" t="n"/>
      <c r="AD51" s="149" t="n"/>
      <c r="AE51" s="149" t="n"/>
      <c r="AF51" s="149" t="n"/>
      <c r="AG51" s="149" t="n"/>
      <c r="AH51" s="149" t="n"/>
      <c r="AI51" s="149" t="n"/>
      <c r="AJ51" s="149" t="n"/>
      <c r="AK51" s="149" t="n"/>
    </row>
    <row r="52" s="143">
      <c r="A52" s="149" t="inlineStr">
        <is>
          <t>CA annuel</t>
        </is>
      </c>
      <c r="B52" s="168">
        <f>'P&amp;L'!B30</f>
        <v/>
      </c>
      <c r="C52" s="168">
        <f>'P&amp;L'!C30</f>
        <v/>
      </c>
      <c r="D52" s="168">
        <f>'P&amp;L'!D30</f>
        <v/>
      </c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149" t="n"/>
      <c r="O52" s="149" t="n"/>
      <c r="P52" s="149" t="n"/>
      <c r="Q52" s="149" t="n"/>
      <c r="R52" s="149" t="n"/>
      <c r="S52" s="149" t="n"/>
      <c r="T52" s="149" t="n"/>
      <c r="U52" s="149" t="n"/>
      <c r="V52" s="149" t="n"/>
      <c r="W52" s="149" t="n"/>
      <c r="X52" s="149" t="n"/>
      <c r="Y52" s="149" t="n"/>
      <c r="Z52" s="149" t="n"/>
      <c r="AA52" s="149" t="n"/>
      <c r="AB52" s="149" t="n"/>
      <c r="AC52" s="149" t="n"/>
      <c r="AD52" s="149" t="n"/>
      <c r="AE52" s="149" t="n"/>
      <c r="AF52" s="149" t="n"/>
      <c r="AG52" s="149" t="n"/>
      <c r="AH52" s="149" t="n"/>
      <c r="AI52" s="149" t="n"/>
      <c r="AJ52" s="149" t="n"/>
      <c r="AK52" s="149" t="n"/>
    </row>
    <row r="53" s="143">
      <c r="A53" s="149" t="inlineStr">
        <is>
          <t>Take rate moyen (CA transactionnel / GMV)</t>
        </is>
      </c>
      <c r="B53" s="152">
        <f>IF(SUMIF($B$2:$AK$2,1,$B$6:$AK$6)=0,0,SUMIF($B$2:$AK$2,1,'Plan ventes'!$B$62:$AK$62)/SUMIF($B$2:$AK$2,1,$B$6:$AK$6))</f>
        <v/>
      </c>
      <c r="C53" s="152">
        <f>IF(SUMIF($B$2:$AK$2,2,$B$6:$AK$6)=0,0,SUMIF($B$2:$AK$2,2,'Plan ventes'!$B$62:$AK$62)/SUMIF($B$2:$AK$2,2,$B$6:$AK$6))</f>
        <v/>
      </c>
      <c r="D53" s="152">
        <f>IF(SUMIF($B$2:$AK$2,3,$B$6:$AK$6)=0,0,SUMIF($B$2:$AK$2,3,'Plan ventes'!$B$62:$AK$62)/SUMIF($B$2:$AK$2,3,$B$6:$AK$6))</f>
        <v/>
      </c>
      <c r="E53" s="149" t="n"/>
      <c r="F53" s="149" t="n"/>
      <c r="G53" s="149" t="n"/>
      <c r="H53" s="149" t="n"/>
      <c r="I53" s="149" t="n"/>
      <c r="J53" s="149" t="n"/>
      <c r="K53" s="149" t="n"/>
      <c r="L53" s="149" t="n"/>
      <c r="M53" s="149" t="n"/>
      <c r="N53" s="149" t="n"/>
      <c r="O53" s="149" t="n"/>
      <c r="P53" s="149" t="n"/>
      <c r="Q53" s="149" t="n"/>
      <c r="R53" s="149" t="n"/>
      <c r="S53" s="149" t="n"/>
      <c r="T53" s="149" t="n"/>
      <c r="U53" s="149" t="n"/>
      <c r="V53" s="149" t="n"/>
      <c r="W53" s="149" t="n"/>
      <c r="X53" s="149" t="n"/>
      <c r="Y53" s="149" t="n"/>
      <c r="Z53" s="149" t="n"/>
      <c r="AA53" s="149" t="n"/>
      <c r="AB53" s="149" t="n"/>
      <c r="AC53" s="149" t="n"/>
      <c r="AD53" s="149" t="n"/>
      <c r="AE53" s="149" t="n"/>
      <c r="AF53" s="149" t="n"/>
      <c r="AG53" s="149" t="n"/>
      <c r="AH53" s="149" t="n"/>
      <c r="AI53" s="149" t="n"/>
      <c r="AJ53" s="149" t="n"/>
      <c r="AK53" s="149" t="n"/>
    </row>
    <row r="54" s="143">
      <c r="A54" s="149" t="inlineStr">
        <is>
          <t>MRR fin d'année</t>
        </is>
      </c>
      <c r="B54" s="176">
        <f>INDEX($B$9:$AK$9,1,12*1)</f>
        <v/>
      </c>
      <c r="C54" s="176">
        <f>INDEX($B$9:$AK$9,1,12*2)</f>
        <v/>
      </c>
      <c r="D54" s="176">
        <f>INDEX($B$9:$AK$9,1,12*3)</f>
        <v/>
      </c>
      <c r="E54" s="149" t="n"/>
      <c r="F54" s="149" t="n"/>
      <c r="G54" s="149" t="n"/>
      <c r="H54" s="149" t="n"/>
      <c r="I54" s="149" t="n"/>
      <c r="J54" s="149" t="n"/>
      <c r="K54" s="149" t="n"/>
      <c r="L54" s="149" t="n"/>
      <c r="M54" s="149" t="n"/>
      <c r="N54" s="149" t="n"/>
      <c r="O54" s="149" t="n"/>
      <c r="P54" s="149" t="n"/>
      <c r="Q54" s="149" t="n"/>
      <c r="R54" s="149" t="n"/>
      <c r="S54" s="149" t="n"/>
      <c r="T54" s="149" t="n"/>
      <c r="U54" s="149" t="n"/>
      <c r="V54" s="149" t="n"/>
      <c r="W54" s="149" t="n"/>
      <c r="X54" s="149" t="n"/>
      <c r="Y54" s="149" t="n"/>
      <c r="Z54" s="149" t="n"/>
      <c r="AA54" s="149" t="n"/>
      <c r="AB54" s="149" t="n"/>
      <c r="AC54" s="149" t="n"/>
      <c r="AD54" s="149" t="n"/>
      <c r="AE54" s="149" t="n"/>
      <c r="AF54" s="149" t="n"/>
      <c r="AG54" s="149" t="n"/>
      <c r="AH54" s="149" t="n"/>
      <c r="AI54" s="149" t="n"/>
      <c r="AJ54" s="149" t="n"/>
      <c r="AK54" s="149" t="n"/>
    </row>
    <row r="55" s="143">
      <c r="A55" s="149" t="inlineStr">
        <is>
          <t>EBITDA annuel</t>
        </is>
      </c>
      <c r="B55" s="168">
        <f>'P&amp;L'!B31</f>
        <v/>
      </c>
      <c r="C55" s="168">
        <f>'P&amp;L'!C31</f>
        <v/>
      </c>
      <c r="D55" s="168">
        <f>'P&amp;L'!D31</f>
        <v/>
      </c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 t="n"/>
      <c r="N55" s="149" t="n"/>
      <c r="O55" s="149" t="n"/>
      <c r="P55" s="149" t="n"/>
      <c r="Q55" s="149" t="n"/>
      <c r="R55" s="149" t="n"/>
      <c r="S55" s="149" t="n"/>
      <c r="T55" s="149" t="n"/>
      <c r="U55" s="149" t="n"/>
      <c r="V55" s="149" t="n"/>
      <c r="W55" s="149" t="n"/>
      <c r="X55" s="149" t="n"/>
      <c r="Y55" s="149" t="n"/>
      <c r="Z55" s="149" t="n"/>
      <c r="AA55" s="149" t="n"/>
      <c r="AB55" s="149" t="n"/>
      <c r="AC55" s="149" t="n"/>
      <c r="AD55" s="149" t="n"/>
      <c r="AE55" s="149" t="n"/>
      <c r="AF55" s="149" t="n"/>
      <c r="AG55" s="149" t="n"/>
      <c r="AH55" s="149" t="n"/>
      <c r="AI55" s="149" t="n"/>
      <c r="AJ55" s="149" t="n"/>
      <c r="AK55" s="149" t="n"/>
    </row>
    <row r="56" s="143">
      <c r="A56" s="149" t="inlineStr">
        <is>
          <t>Résultat net annuel</t>
        </is>
      </c>
      <c r="B56" s="168">
        <f>'P&amp;L'!B35</f>
        <v/>
      </c>
      <c r="C56" s="168">
        <f>'P&amp;L'!C35</f>
        <v/>
      </c>
      <c r="D56" s="168">
        <f>'P&amp;L'!D35</f>
        <v/>
      </c>
      <c r="E56" s="149" t="n"/>
      <c r="F56" s="149" t="n"/>
      <c r="G56" s="149" t="n"/>
      <c r="H56" s="149" t="n"/>
      <c r="I56" s="149" t="n"/>
      <c r="J56" s="149" t="n"/>
      <c r="K56" s="149" t="n"/>
      <c r="L56" s="149" t="n"/>
      <c r="M56" s="149" t="n"/>
      <c r="N56" s="149" t="n"/>
      <c r="O56" s="149" t="n"/>
      <c r="P56" s="149" t="n"/>
      <c r="Q56" s="149" t="n"/>
      <c r="R56" s="149" t="n"/>
      <c r="S56" s="149" t="n"/>
      <c r="T56" s="149" t="n"/>
      <c r="U56" s="149" t="n"/>
      <c r="V56" s="149" t="n"/>
      <c r="W56" s="149" t="n"/>
      <c r="X56" s="149" t="n"/>
      <c r="Y56" s="149" t="n"/>
      <c r="Z56" s="149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  <c r="AK56" s="149" t="n"/>
    </row>
    <row r="57" s="143">
      <c r="A57" s="149" t="inlineStr">
        <is>
          <t>Marge EBITDA</t>
        </is>
      </c>
      <c r="B57" s="170">
        <f>IF(B52=0,0,B55/B52)</f>
        <v/>
      </c>
      <c r="C57" s="170">
        <f>IF(C52=0,0,C55/C52)</f>
        <v/>
      </c>
      <c r="D57" s="170">
        <f>IF(D52=0,0,D55/D52)</f>
        <v/>
      </c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N57" s="149" t="n"/>
      <c r="O57" s="149" t="n"/>
      <c r="P57" s="149" t="n"/>
      <c r="Q57" s="149" t="n"/>
      <c r="R57" s="149" t="n"/>
      <c r="S57" s="149" t="n"/>
      <c r="T57" s="149" t="n"/>
      <c r="U57" s="149" t="n"/>
      <c r="V57" s="149" t="n"/>
      <c r="W57" s="149" t="n"/>
      <c r="X57" s="149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  <c r="AK57" s="149" t="n"/>
    </row>
    <row r="58" s="143">
      <c r="A58" s="149" t="inlineStr">
        <is>
          <t>Croissance CA (YoY)</t>
        </is>
      </c>
      <c r="B58" s="170">
        <f>0</f>
        <v/>
      </c>
      <c r="C58" s="170">
        <f>IF(B52=0,0,C52/B52-1)</f>
        <v/>
      </c>
      <c r="D58" s="170">
        <f>IF(C52=0,0,D52/C52-1)</f>
        <v/>
      </c>
      <c r="E58" s="149" t="n"/>
      <c r="F58" s="149" t="n"/>
      <c r="G58" s="149" t="n"/>
      <c r="H58" s="149" t="n"/>
      <c r="I58" s="149" t="n"/>
      <c r="J58" s="149" t="n"/>
      <c r="K58" s="149" t="n"/>
      <c r="L58" s="149" t="n"/>
      <c r="M58" s="149" t="n"/>
      <c r="N58" s="149" t="n"/>
      <c r="O58" s="149" t="n"/>
      <c r="P58" s="149" t="n"/>
      <c r="Q58" s="149" t="n"/>
      <c r="R58" s="149" t="n"/>
      <c r="S58" s="149" t="n"/>
      <c r="T58" s="149" t="n"/>
      <c r="U58" s="149" t="n"/>
      <c r="V58" s="149" t="n"/>
      <c r="W58" s="149" t="n"/>
      <c r="X58" s="14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  <c r="AK58" s="149" t="n"/>
    </row>
    <row r="59" s="143">
      <c r="A59" s="149" t="inlineStr">
        <is>
          <t>Prestataires actifs fin d'année</t>
        </is>
      </c>
      <c r="B59" s="202">
        <f>INDEX($B$16:$AK$16,1,12*1)</f>
        <v/>
      </c>
      <c r="C59" s="202">
        <f>INDEX($B$16:$AK$16,1,12*2)</f>
        <v/>
      </c>
      <c r="D59" s="202">
        <f>INDEX($B$16:$AK$16,1,12*3)</f>
        <v/>
      </c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N59" s="149" t="n"/>
      <c r="O59" s="149" t="n"/>
      <c r="P59" s="149" t="n"/>
      <c r="Q59" s="149" t="n"/>
      <c r="R59" s="149" t="n"/>
      <c r="S59" s="149" t="n"/>
      <c r="T59" s="149" t="n"/>
      <c r="U59" s="149" t="n"/>
      <c r="V59" s="149" t="n"/>
      <c r="W59" s="149" t="n"/>
      <c r="X59" s="149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  <c r="AK59" s="149" t="n"/>
    </row>
    <row r="60" s="143">
      <c r="A60" s="149" t="inlineStr">
        <is>
          <t>Utilisation capacité Ampio fin d'année</t>
        </is>
      </c>
      <c r="B60" s="170">
        <f>INDEX($B$17:$AK$17,1,12*1)</f>
        <v/>
      </c>
      <c r="C60" s="170">
        <f>INDEX($B$17:$AK$17,1,12*2)</f>
        <v/>
      </c>
      <c r="D60" s="170">
        <f>INDEX($B$17:$AK$17,1,12*3)</f>
        <v/>
      </c>
      <c r="E60" s="149" t="n"/>
      <c r="F60" s="149" t="n"/>
      <c r="G60" s="149" t="n"/>
      <c r="H60" s="149" t="n"/>
      <c r="I60" s="149" t="n"/>
      <c r="J60" s="149" t="n"/>
      <c r="K60" s="149" t="n"/>
      <c r="L60" s="149" t="n"/>
      <c r="M60" s="149" t="n"/>
      <c r="N60" s="149" t="n"/>
      <c r="O60" s="149" t="n"/>
      <c r="P60" s="149" t="n"/>
      <c r="Q60" s="149" t="n"/>
      <c r="R60" s="149" t="n"/>
      <c r="S60" s="149" t="n"/>
      <c r="T60" s="149" t="n"/>
      <c r="U60" s="149" t="n"/>
      <c r="V60" s="149" t="n"/>
      <c r="W60" s="149" t="n"/>
      <c r="X60" s="149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  <c r="AK60" s="149" t="n"/>
    </row>
    <row r="61" s="143">
      <c r="A61" s="149" t="inlineStr">
        <is>
          <t>GMV perdu faute d'offre (annuel)</t>
        </is>
      </c>
      <c r="B61" s="176">
        <f>SUMIF($B$2:$AK$2,1,$B$19:$AK$19)</f>
        <v/>
      </c>
      <c r="C61" s="176">
        <f>SUMIF($B$2:$AK$2,2,$B$19:$AK$19)</f>
        <v/>
      </c>
      <c r="D61" s="176">
        <f>SUMIF($B$2:$AK$2,3,$B$19:$AK$19)</f>
        <v/>
      </c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149" t="n"/>
      <c r="O61" s="149" t="n"/>
      <c r="P61" s="149" t="n"/>
      <c r="Q61" s="149" t="n"/>
      <c r="R61" s="149" t="n"/>
      <c r="S61" s="149" t="n"/>
      <c r="T61" s="149" t="n"/>
      <c r="U61" s="149" t="n"/>
      <c r="V61" s="149" t="n"/>
      <c r="W61" s="149" t="n"/>
      <c r="X61" s="149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  <c r="AK61" s="149" t="n"/>
    </row>
    <row r="62" s="143">
      <c r="A62" s="149" t="inlineStr">
        <is>
          <t>Budget publicité annuel</t>
        </is>
      </c>
      <c r="B62" s="176">
        <f>SUMIF($B$2:$AK$2,1,$B$12:$AK$12)</f>
        <v/>
      </c>
      <c r="C62" s="176">
        <f>SUMIF($B$2:$AK$2,2,$B$12:$AK$12)</f>
        <v/>
      </c>
      <c r="D62" s="176">
        <f>SUMIF($B$2:$AK$2,3,$B$12:$AK$12)</f>
        <v/>
      </c>
      <c r="E62" s="149" t="n"/>
      <c r="F62" s="149" t="n"/>
      <c r="G62" s="149" t="n"/>
      <c r="H62" s="149" t="n"/>
      <c r="I62" s="149" t="n"/>
      <c r="J62" s="149" t="n"/>
      <c r="K62" s="149" t="n"/>
      <c r="L62" s="149" t="n"/>
      <c r="M62" s="149" t="n"/>
      <c r="N62" s="149" t="n"/>
      <c r="O62" s="149" t="n"/>
      <c r="P62" s="149" t="n"/>
      <c r="Q62" s="149" t="n"/>
      <c r="R62" s="149" t="n"/>
      <c r="S62" s="149" t="n"/>
      <c r="T62" s="149" t="n"/>
      <c r="U62" s="149" t="n"/>
      <c r="V62" s="149" t="n"/>
      <c r="W62" s="149" t="n"/>
      <c r="X62" s="149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  <c r="AK62" s="149" t="n"/>
    </row>
    <row r="63" s="143">
      <c r="A63" s="149" t="inlineStr">
        <is>
          <t>CAC offre moyen annuel</t>
        </is>
      </c>
      <c r="B63" s="176">
        <f>IF(SUMIF($B$2:$AK$2,1,$B$27:$AK$27)=0,0,SUMIF($B$2:$AK$2,1,$B$30:$AK$30)/SUMIF($B$2:$AK$2,1,$B$27:$AK$27))</f>
        <v/>
      </c>
      <c r="C63" s="176">
        <f>IF(SUMIF($B$2:$AK$2,2,$B$27:$AK$27)=0,0,SUMIF($B$2:$AK$2,2,$B$30:$AK$30)/SUMIF($B$2:$AK$2,2,$B$27:$AK$27))</f>
        <v/>
      </c>
      <c r="D63" s="176">
        <f>IF(SUMIF($B$2:$AK$2,3,$B$27:$AK$27)=0,0,SUMIF($B$2:$AK$2,3,$B$30:$AK$30)/SUMIF($B$2:$AK$2,3,$B$27:$AK$27))</f>
        <v/>
      </c>
      <c r="E63" s="149" t="n"/>
      <c r="F63" s="149" t="n"/>
      <c r="G63" s="149" t="n"/>
      <c r="H63" s="149" t="n"/>
      <c r="I63" s="149" t="n"/>
      <c r="J63" s="149" t="n"/>
      <c r="K63" s="149" t="n"/>
      <c r="L63" s="149" t="n"/>
      <c r="M63" s="149" t="n"/>
      <c r="N63" s="149" t="n"/>
      <c r="O63" s="149" t="n"/>
      <c r="P63" s="149" t="n"/>
      <c r="Q63" s="149" t="n"/>
      <c r="R63" s="149" t="n"/>
      <c r="S63" s="149" t="n"/>
      <c r="T63" s="149" t="n"/>
      <c r="U63" s="149" t="n"/>
      <c r="V63" s="149" t="n"/>
      <c r="W63" s="149" t="n"/>
      <c r="X63" s="149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  <c r="AK63" s="149" t="n"/>
    </row>
    <row r="64" s="143">
      <c r="A64" s="149" t="inlineStr">
        <is>
          <t>CAC demande moyen annuel</t>
        </is>
      </c>
      <c r="B64" s="176">
        <f>IF(SUMIF($B$2:$AK$2,1,$B$28:$AK$28)=0,0,SUMIF($B$2:$AK$2,1,$B$31:$AK$31)/SUMIF($B$2:$AK$2,1,$B$28:$AK$28))</f>
        <v/>
      </c>
      <c r="C64" s="176">
        <f>IF(SUMIF($B$2:$AK$2,2,$B$28:$AK$28)=0,0,SUMIF($B$2:$AK$2,2,$B$31:$AK$31)/SUMIF($B$2:$AK$2,2,$B$28:$AK$28))</f>
        <v/>
      </c>
      <c r="D64" s="176">
        <f>IF(SUMIF($B$2:$AK$2,3,$B$28:$AK$28)=0,0,SUMIF($B$2:$AK$2,3,$B$31:$AK$31)/SUMIF($B$2:$AK$2,3,$B$28:$AK$28))</f>
        <v/>
      </c>
      <c r="E64" s="149" t="n"/>
      <c r="F64" s="149" t="n"/>
      <c r="G64" s="149" t="n"/>
      <c r="H64" s="149" t="n"/>
      <c r="I64" s="149" t="n"/>
      <c r="J64" s="149" t="n"/>
      <c r="K64" s="149" t="n"/>
      <c r="L64" s="149" t="n"/>
      <c r="M64" s="149" t="n"/>
      <c r="N64" s="149" t="n"/>
      <c r="O64" s="149" t="n"/>
      <c r="P64" s="149" t="n"/>
      <c r="Q64" s="149" t="n"/>
      <c r="R64" s="149" t="n"/>
      <c r="S64" s="149" t="n"/>
      <c r="T64" s="149" t="n"/>
      <c r="U64" s="149" t="n"/>
      <c r="V64" s="149" t="n"/>
      <c r="W64" s="149" t="n"/>
      <c r="X64" s="149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  <c r="AK64" s="149" t="n"/>
    </row>
    <row r="65" s="143">
      <c r="A65" s="149" t="inlineStr">
        <is>
          <t>LTV / CAC offre fin d'année</t>
        </is>
      </c>
      <c r="B65" s="179">
        <f>INDEX($B$38:$AK$38,1,12*1)</f>
        <v/>
      </c>
      <c r="C65" s="179">
        <f>INDEX($B$38:$AK$38,1,12*2)</f>
        <v/>
      </c>
      <c r="D65" s="179">
        <f>INDEX($B$38:$AK$38,1,12*3)</f>
        <v/>
      </c>
      <c r="E65" s="149" t="n"/>
      <c r="F65" s="149" t="n"/>
      <c r="G65" s="149" t="n"/>
      <c r="H65" s="149" t="n"/>
      <c r="I65" s="149" t="n"/>
      <c r="J65" s="149" t="n"/>
      <c r="K65" s="149" t="n"/>
      <c r="L65" s="149" t="n"/>
      <c r="M65" s="149" t="n"/>
      <c r="N65" s="149" t="n"/>
      <c r="O65" s="149" t="n"/>
      <c r="P65" s="149" t="n"/>
      <c r="Q65" s="149" t="n"/>
      <c r="R65" s="149" t="n"/>
      <c r="S65" s="149" t="n"/>
      <c r="T65" s="149" t="n"/>
      <c r="U65" s="149" t="n"/>
      <c r="V65" s="149" t="n"/>
      <c r="W65" s="149" t="n"/>
      <c r="X65" s="149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  <c r="AK65" s="149" t="n"/>
    </row>
    <row r="66" s="143">
      <c r="A66" s="149" t="inlineStr">
        <is>
          <t>LTV / CAC demande fin d'année</t>
        </is>
      </c>
      <c r="B66" s="179">
        <f>INDEX($B$39:$AK$39,1,12*1)</f>
        <v/>
      </c>
      <c r="C66" s="179">
        <f>INDEX($B$39:$AK$39,1,12*2)</f>
        <v/>
      </c>
      <c r="D66" s="179">
        <f>INDEX($B$39:$AK$39,1,12*3)</f>
        <v/>
      </c>
      <c r="E66" s="149" t="n"/>
      <c r="F66" s="149" t="n"/>
      <c r="G66" s="149" t="n"/>
      <c r="H66" s="149" t="n"/>
      <c r="I66" s="149" t="n"/>
      <c r="J66" s="149" t="n"/>
      <c r="K66" s="149" t="n"/>
      <c r="L66" s="149" t="n"/>
      <c r="M66" s="149" t="n"/>
      <c r="N66" s="149" t="n"/>
      <c r="O66" s="149" t="n"/>
      <c r="P66" s="149" t="n"/>
      <c r="Q66" s="149" t="n"/>
      <c r="R66" s="149" t="n"/>
      <c r="S66" s="149" t="n"/>
      <c r="T66" s="149" t="n"/>
      <c r="U66" s="149" t="n"/>
      <c r="V66" s="149" t="n"/>
      <c r="W66" s="149" t="n"/>
      <c r="X66" s="149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  <c r="AK66" s="149" t="n"/>
    </row>
    <row r="67" s="143">
      <c r="A67" s="149" t="inlineStr">
        <is>
          <t>Rule of 40 (croissance CA YoY + marge EBITDA)</t>
        </is>
      </c>
      <c r="B67" s="170">
        <f>B58+B57</f>
        <v/>
      </c>
      <c r="C67" s="170">
        <f>C58+C57</f>
        <v/>
      </c>
      <c r="D67" s="170">
        <f>D58+D57</f>
        <v/>
      </c>
      <c r="E67" s="149" t="n"/>
      <c r="F67" s="149" t="n"/>
      <c r="G67" s="149" t="n"/>
      <c r="H67" s="149" t="n"/>
      <c r="I67" s="149" t="n"/>
      <c r="J67" s="149" t="n"/>
      <c r="K67" s="149" t="n"/>
      <c r="L67" s="149" t="n"/>
      <c r="M67" s="149" t="n"/>
      <c r="N67" s="149" t="n"/>
      <c r="O67" s="149" t="n"/>
      <c r="P67" s="149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  <c r="AA67" s="149" t="n"/>
      <c r="AB67" s="149" t="n"/>
      <c r="AC67" s="149" t="n"/>
      <c r="AD67" s="149" t="n"/>
      <c r="AE67" s="149" t="n"/>
      <c r="AF67" s="149" t="n"/>
      <c r="AG67" s="149" t="n"/>
      <c r="AH67" s="149" t="n"/>
      <c r="AI67" s="149" t="n"/>
      <c r="AJ67" s="149" t="n"/>
      <c r="AK67" s="149" t="n"/>
    </row>
    <row r="68" s="143">
      <c r="A68" s="149" t="n"/>
      <c r="B68" s="149" t="n"/>
      <c r="C68" s="149" t="n"/>
      <c r="D68" s="149" t="n"/>
      <c r="E68" s="149" t="n"/>
      <c r="F68" s="149" t="n"/>
      <c r="G68" s="149" t="n"/>
      <c r="H68" s="149" t="n"/>
      <c r="I68" s="149" t="n"/>
      <c r="J68" s="149" t="n"/>
      <c r="K68" s="149" t="n"/>
      <c r="L68" s="149" t="n"/>
      <c r="M68" s="149" t="n"/>
      <c r="N68" s="149" t="n"/>
      <c r="O68" s="149" t="n"/>
      <c r="P68" s="149" t="n"/>
      <c r="Q68" s="149" t="n"/>
      <c r="R68" s="149" t="n"/>
      <c r="S68" s="149" t="n"/>
      <c r="T68" s="149" t="n"/>
      <c r="U68" s="149" t="n"/>
      <c r="V68" s="149" t="n"/>
      <c r="W68" s="149" t="n"/>
      <c r="X68" s="149" t="n"/>
      <c r="Y68" s="149" t="n"/>
      <c r="Z68" s="149" t="n"/>
      <c r="AA68" s="149" t="n"/>
      <c r="AB68" s="149" t="n"/>
      <c r="AC68" s="149" t="n"/>
      <c r="AD68" s="149" t="n"/>
      <c r="AE68" s="149" t="n"/>
      <c r="AF68" s="149" t="n"/>
      <c r="AG68" s="149" t="n"/>
      <c r="AH68" s="149" t="n"/>
      <c r="AI68" s="149" t="n"/>
      <c r="AJ68" s="149" t="n"/>
      <c r="AK68" s="149" t="n"/>
    </row>
    <row r="69" s="143">
      <c r="A69" s="149" t="n"/>
      <c r="B69" s="149" t="n"/>
      <c r="C69" s="149" t="n"/>
      <c r="D69" s="149" t="n"/>
      <c r="E69" s="149" t="n"/>
      <c r="F69" s="149" t="n"/>
      <c r="G69" s="149" t="n"/>
      <c r="H69" s="149" t="n"/>
      <c r="I69" s="149" t="n"/>
      <c r="J69" s="149" t="n"/>
      <c r="K69" s="149" t="n"/>
      <c r="L69" s="149" t="n"/>
      <c r="M69" s="149" t="n"/>
      <c r="N69" s="149" t="n"/>
      <c r="O69" s="149" t="n"/>
      <c r="P69" s="149" t="n"/>
      <c r="Q69" s="149" t="n"/>
      <c r="R69" s="149" t="n"/>
      <c r="S69" s="149" t="n"/>
      <c r="T69" s="149" t="n"/>
      <c r="U69" s="149" t="n"/>
      <c r="V69" s="149" t="n"/>
      <c r="W69" s="149" t="n"/>
      <c r="X69" s="149" t="n"/>
      <c r="Y69" s="149" t="n"/>
      <c r="Z69" s="149" t="n"/>
      <c r="AA69" s="149" t="n"/>
      <c r="AB69" s="149" t="n"/>
      <c r="AC69" s="149" t="n"/>
      <c r="AD69" s="149" t="n"/>
      <c r="AE69" s="149" t="n"/>
      <c r="AF69" s="149" t="n"/>
      <c r="AG69" s="149" t="n"/>
      <c r="AH69" s="149" t="n"/>
      <c r="AI69" s="149" t="n"/>
      <c r="AJ69" s="149" t="n"/>
      <c r="AK69" s="149" t="n"/>
    </row>
    <row r="70" s="143">
      <c r="A70" s="149" t="n"/>
      <c r="B70" s="149" t="n"/>
      <c r="C70" s="149" t="n"/>
      <c r="D70" s="149" t="n"/>
      <c r="E70" s="149" t="n"/>
      <c r="F70" s="149" t="n"/>
      <c r="G70" s="149" t="n"/>
      <c r="H70" s="149" t="n"/>
      <c r="I70" s="149" t="n"/>
      <c r="J70" s="149" t="n"/>
      <c r="K70" s="149" t="n"/>
      <c r="L70" s="149" t="n"/>
      <c r="M70" s="149" t="n"/>
      <c r="N70" s="149" t="n"/>
      <c r="O70" s="149" t="n"/>
      <c r="P70" s="149" t="n"/>
      <c r="Q70" s="149" t="n"/>
      <c r="R70" s="149" t="n"/>
      <c r="S70" s="149" t="n"/>
      <c r="T70" s="149" t="n"/>
      <c r="U70" s="149" t="n"/>
      <c r="V70" s="149" t="n"/>
      <c r="W70" s="149" t="n"/>
      <c r="X70" s="149" t="n"/>
      <c r="Y70" s="149" t="n"/>
      <c r="Z70" s="149" t="n"/>
      <c r="AA70" s="149" t="n"/>
      <c r="AB70" s="149" t="n"/>
      <c r="AC70" s="149" t="n"/>
      <c r="AD70" s="149" t="n"/>
      <c r="AE70" s="149" t="n"/>
      <c r="AF70" s="149" t="n"/>
      <c r="AG70" s="149" t="n"/>
      <c r="AH70" s="149" t="n"/>
      <c r="AI70" s="149" t="n"/>
      <c r="AJ70" s="149" t="n"/>
      <c r="AK70" s="149" t="n"/>
    </row>
    <row r="71" s="143">
      <c r="A71" s="149" t="n"/>
      <c r="B71" s="149" t="n"/>
      <c r="C71" s="149" t="n"/>
      <c r="D71" s="149" t="n"/>
      <c r="E71" s="149" t="n"/>
      <c r="F71" s="149" t="n"/>
      <c r="G71" s="149" t="n"/>
      <c r="H71" s="149" t="n"/>
      <c r="I71" s="149" t="n"/>
      <c r="J71" s="149" t="n"/>
      <c r="K71" s="149" t="n"/>
      <c r="L71" s="149" t="n"/>
      <c r="M71" s="149" t="n"/>
      <c r="N71" s="149" t="n"/>
      <c r="O71" s="149" t="n"/>
      <c r="P71" s="149" t="n"/>
      <c r="Q71" s="149" t="n"/>
      <c r="R71" s="149" t="n"/>
      <c r="S71" s="149" t="n"/>
      <c r="T71" s="149" t="n"/>
      <c r="U71" s="149" t="n"/>
      <c r="V71" s="149" t="n"/>
      <c r="W71" s="149" t="n"/>
      <c r="X71" s="149" t="n"/>
      <c r="Y71" s="149" t="n"/>
      <c r="Z71" s="149" t="n"/>
      <c r="AA71" s="149" t="n"/>
      <c r="AB71" s="149" t="n"/>
      <c r="AC71" s="149" t="n"/>
      <c r="AD71" s="149" t="n"/>
      <c r="AE71" s="149" t="n"/>
      <c r="AF71" s="149" t="n"/>
      <c r="AG71" s="149" t="n"/>
      <c r="AH71" s="149" t="n"/>
      <c r="AI71" s="149" t="n"/>
      <c r="AJ71" s="149" t="n"/>
      <c r="AK71" s="149" t="n"/>
    </row>
    <row r="72" s="143">
      <c r="A72" s="149" t="n"/>
      <c r="B72" s="149" t="n"/>
      <c r="C72" s="149" t="n"/>
      <c r="D72" s="149" t="n"/>
      <c r="E72" s="149" t="n"/>
      <c r="F72" s="149" t="n"/>
      <c r="G72" s="149" t="n"/>
      <c r="H72" s="149" t="n"/>
      <c r="I72" s="149" t="n"/>
      <c r="J72" s="149" t="n"/>
      <c r="K72" s="149" t="n"/>
      <c r="L72" s="149" t="n"/>
      <c r="M72" s="149" t="n"/>
      <c r="N72" s="149" t="n"/>
      <c r="O72" s="149" t="n"/>
      <c r="P72" s="149" t="n"/>
      <c r="Q72" s="149" t="n"/>
      <c r="R72" s="149" t="n"/>
      <c r="S72" s="149" t="n"/>
      <c r="T72" s="149" t="n"/>
      <c r="U72" s="149" t="n"/>
      <c r="V72" s="149" t="n"/>
      <c r="W72" s="149" t="n"/>
      <c r="X72" s="149" t="n"/>
      <c r="Y72" s="149" t="n"/>
      <c r="Z72" s="149" t="n"/>
      <c r="AA72" s="149" t="n"/>
      <c r="AB72" s="149" t="n"/>
      <c r="AC72" s="149" t="n"/>
      <c r="AD72" s="149" t="n"/>
      <c r="AE72" s="149" t="n"/>
      <c r="AF72" s="149" t="n"/>
      <c r="AG72" s="149" t="n"/>
      <c r="AH72" s="149" t="n"/>
      <c r="AI72" s="149" t="n"/>
      <c r="AJ72" s="149" t="n"/>
      <c r="AK72" s="149" t="n"/>
    </row>
    <row r="73" s="143">
      <c r="A73" s="149" t="n"/>
      <c r="B73" s="149" t="n"/>
      <c r="C73" s="149" t="n"/>
      <c r="D73" s="149" t="n"/>
      <c r="E73" s="149" t="n"/>
      <c r="F73" s="149" t="n"/>
      <c r="G73" s="149" t="n"/>
      <c r="H73" s="149" t="n"/>
      <c r="I73" s="149" t="n"/>
      <c r="J73" s="149" t="n"/>
      <c r="K73" s="149" t="n"/>
      <c r="L73" s="149" t="n"/>
      <c r="M73" s="149" t="n"/>
      <c r="N73" s="149" t="n"/>
      <c r="O73" s="149" t="n"/>
      <c r="P73" s="149" t="n"/>
      <c r="Q73" s="149" t="n"/>
      <c r="R73" s="149" t="n"/>
      <c r="S73" s="149" t="n"/>
      <c r="T73" s="149" t="n"/>
      <c r="U73" s="149" t="n"/>
      <c r="V73" s="149" t="n"/>
      <c r="W73" s="149" t="n"/>
      <c r="X73" s="149" t="n"/>
      <c r="Y73" s="149" t="n"/>
      <c r="Z73" s="149" t="n"/>
      <c r="AA73" s="149" t="n"/>
      <c r="AB73" s="149" t="n"/>
      <c r="AC73" s="149" t="n"/>
      <c r="AD73" s="149" t="n"/>
      <c r="AE73" s="149" t="n"/>
      <c r="AF73" s="149" t="n"/>
      <c r="AG73" s="149" t="n"/>
      <c r="AH73" s="149" t="n"/>
      <c r="AI73" s="149" t="n"/>
      <c r="AJ73" s="149" t="n"/>
      <c r="AK73" s="149" t="n"/>
    </row>
    <row r="74" s="143">
      <c r="A74" s="149" t="n"/>
      <c r="B74" s="149" t="n"/>
      <c r="C74" s="149" t="n"/>
      <c r="D74" s="149" t="n"/>
      <c r="E74" s="149" t="n"/>
      <c r="F74" s="149" t="n"/>
      <c r="G74" s="149" t="n"/>
      <c r="H74" s="149" t="n"/>
      <c r="I74" s="149" t="n"/>
      <c r="J74" s="149" t="n"/>
      <c r="K74" s="149" t="n"/>
      <c r="L74" s="149" t="n"/>
      <c r="M74" s="149" t="n"/>
      <c r="N74" s="149" t="n"/>
      <c r="O74" s="149" t="n"/>
      <c r="P74" s="149" t="n"/>
      <c r="Q74" s="149" t="n"/>
      <c r="R74" s="149" t="n"/>
      <c r="S74" s="149" t="n"/>
      <c r="T74" s="149" t="n"/>
      <c r="U74" s="149" t="n"/>
      <c r="V74" s="149" t="n"/>
      <c r="W74" s="149" t="n"/>
      <c r="X74" s="149" t="n"/>
      <c r="Y74" s="149" t="n"/>
      <c r="Z74" s="149" t="n"/>
      <c r="AA74" s="149" t="n"/>
      <c r="AB74" s="149" t="n"/>
      <c r="AC74" s="149" t="n"/>
      <c r="AD74" s="149" t="n"/>
      <c r="AE74" s="149" t="n"/>
      <c r="AF74" s="149" t="n"/>
      <c r="AG74" s="149" t="n"/>
      <c r="AH74" s="149" t="n"/>
      <c r="AI74" s="149" t="n"/>
      <c r="AJ74" s="149" t="n"/>
      <c r="AK74" s="149" t="n"/>
    </row>
    <row r="75" s="143">
      <c r="A75" s="149" t="n"/>
      <c r="B75" s="149" t="n"/>
      <c r="C75" s="149" t="n"/>
      <c r="D75" s="149" t="n"/>
      <c r="E75" s="149" t="n"/>
      <c r="F75" s="149" t="n"/>
      <c r="G75" s="149" t="n"/>
      <c r="H75" s="149" t="n"/>
      <c r="I75" s="149" t="n"/>
      <c r="J75" s="149" t="n"/>
      <c r="K75" s="149" t="n"/>
      <c r="L75" s="149" t="n"/>
      <c r="M75" s="149" t="n"/>
      <c r="N75" s="149" t="n"/>
      <c r="O75" s="149" t="n"/>
      <c r="P75" s="149" t="n"/>
      <c r="Q75" s="149" t="n"/>
      <c r="R75" s="149" t="n"/>
      <c r="S75" s="149" t="n"/>
      <c r="T75" s="149" t="n"/>
      <c r="U75" s="149" t="n"/>
      <c r="V75" s="149" t="n"/>
      <c r="W75" s="149" t="n"/>
      <c r="X75" s="149" t="n"/>
      <c r="Y75" s="149" t="n"/>
      <c r="Z75" s="149" t="n"/>
      <c r="AA75" s="149" t="n"/>
      <c r="AB75" s="149" t="n"/>
      <c r="AC75" s="149" t="n"/>
      <c r="AD75" s="149" t="n"/>
      <c r="AE75" s="149" t="n"/>
      <c r="AF75" s="149" t="n"/>
      <c r="AG75" s="149" t="n"/>
      <c r="AH75" s="149" t="n"/>
      <c r="AI75" s="149" t="n"/>
      <c r="AJ75" s="149" t="n"/>
      <c r="AK75" s="149" t="n"/>
    </row>
    <row r="76" s="143">
      <c r="A76" s="149" t="n"/>
      <c r="B76" s="149" t="n"/>
      <c r="C76" s="149" t="n"/>
      <c r="D76" s="149" t="n"/>
      <c r="E76" s="149" t="n"/>
      <c r="F76" s="149" t="n"/>
      <c r="G76" s="149" t="n"/>
      <c r="H76" s="149" t="n"/>
      <c r="I76" s="149" t="n"/>
      <c r="J76" s="149" t="n"/>
      <c r="K76" s="149" t="n"/>
      <c r="L76" s="149" t="n"/>
      <c r="M76" s="149" t="n"/>
      <c r="N76" s="149" t="n"/>
      <c r="O76" s="149" t="n"/>
      <c r="P76" s="149" t="n"/>
      <c r="Q76" s="149" t="n"/>
      <c r="R76" s="149" t="n"/>
      <c r="S76" s="149" t="n"/>
      <c r="T76" s="149" t="n"/>
      <c r="U76" s="149" t="n"/>
      <c r="V76" s="149" t="n"/>
      <c r="W76" s="149" t="n"/>
      <c r="X76" s="149" t="n"/>
      <c r="Y76" s="149" t="n"/>
      <c r="Z76" s="149" t="n"/>
      <c r="AA76" s="149" t="n"/>
      <c r="AB76" s="149" t="n"/>
      <c r="AC76" s="149" t="n"/>
      <c r="AD76" s="149" t="n"/>
      <c r="AE76" s="149" t="n"/>
      <c r="AF76" s="149" t="n"/>
      <c r="AG76" s="149" t="n"/>
      <c r="AH76" s="149" t="n"/>
      <c r="AI76" s="149" t="n"/>
      <c r="AJ76" s="149" t="n"/>
      <c r="AK76" s="149" t="n"/>
    </row>
    <row r="77" s="143">
      <c r="A77" s="149" t="n"/>
      <c r="B77" s="149" t="n"/>
      <c r="C77" s="149" t="n"/>
      <c r="D77" s="149" t="n"/>
      <c r="E77" s="149" t="n"/>
      <c r="F77" s="149" t="n"/>
      <c r="G77" s="149" t="n"/>
      <c r="H77" s="149" t="n"/>
      <c r="I77" s="149" t="n"/>
      <c r="J77" s="149" t="n"/>
      <c r="K77" s="149" t="n"/>
      <c r="L77" s="149" t="n"/>
      <c r="M77" s="149" t="n"/>
      <c r="N77" s="149" t="n"/>
      <c r="O77" s="149" t="n"/>
      <c r="P77" s="149" t="n"/>
      <c r="Q77" s="149" t="n"/>
      <c r="R77" s="149" t="n"/>
      <c r="S77" s="149" t="n"/>
      <c r="T77" s="149" t="n"/>
      <c r="U77" s="149" t="n"/>
      <c r="V77" s="149" t="n"/>
      <c r="W77" s="149" t="n"/>
      <c r="X77" s="149" t="n"/>
      <c r="Y77" s="149" t="n"/>
      <c r="Z77" s="149" t="n"/>
      <c r="AA77" s="149" t="n"/>
      <c r="AB77" s="149" t="n"/>
      <c r="AC77" s="149" t="n"/>
      <c r="AD77" s="149" t="n"/>
      <c r="AE77" s="149" t="n"/>
      <c r="AF77" s="149" t="n"/>
      <c r="AG77" s="149" t="n"/>
      <c r="AH77" s="149" t="n"/>
      <c r="AI77" s="149" t="n"/>
      <c r="AJ77" s="149" t="n"/>
      <c r="AK77" s="149" t="n"/>
    </row>
    <row r="78" s="143">
      <c r="A78" s="149" t="n"/>
      <c r="B78" s="149" t="n"/>
      <c r="C78" s="149" t="n"/>
      <c r="D78" s="149" t="n"/>
      <c r="E78" s="149" t="n"/>
      <c r="F78" s="149" t="n"/>
      <c r="G78" s="149" t="n"/>
      <c r="H78" s="149" t="n"/>
      <c r="I78" s="149" t="n"/>
      <c r="J78" s="149" t="n"/>
      <c r="K78" s="149" t="n"/>
      <c r="L78" s="149" t="n"/>
      <c r="M78" s="149" t="n"/>
      <c r="N78" s="149" t="n"/>
      <c r="O78" s="149" t="n"/>
      <c r="P78" s="149" t="n"/>
      <c r="Q78" s="149" t="n"/>
      <c r="R78" s="149" t="n"/>
      <c r="S78" s="149" t="n"/>
      <c r="T78" s="149" t="n"/>
      <c r="U78" s="149" t="n"/>
      <c r="V78" s="149" t="n"/>
      <c r="W78" s="149" t="n"/>
      <c r="X78" s="149" t="n"/>
      <c r="Y78" s="149" t="n"/>
      <c r="Z78" s="149" t="n"/>
      <c r="AA78" s="149" t="n"/>
      <c r="AB78" s="149" t="n"/>
      <c r="AC78" s="149" t="n"/>
      <c r="AD78" s="149" t="n"/>
      <c r="AE78" s="149" t="n"/>
      <c r="AF78" s="149" t="n"/>
      <c r="AG78" s="149" t="n"/>
      <c r="AH78" s="149" t="n"/>
      <c r="AI78" s="149" t="n"/>
      <c r="AJ78" s="149" t="n"/>
      <c r="AK78" s="149" t="n"/>
    </row>
    <row r="79" s="143">
      <c r="A79" s="149" t="n"/>
      <c r="B79" s="149" t="n"/>
      <c r="C79" s="149" t="n"/>
      <c r="D79" s="149" t="n"/>
      <c r="E79" s="149" t="n"/>
      <c r="F79" s="149" t="n"/>
      <c r="G79" s="149" t="n"/>
      <c r="H79" s="149" t="n"/>
      <c r="I79" s="149" t="n"/>
      <c r="J79" s="149" t="n"/>
      <c r="K79" s="149" t="n"/>
      <c r="L79" s="149" t="n"/>
      <c r="M79" s="149" t="n"/>
      <c r="N79" s="149" t="n"/>
      <c r="O79" s="149" t="n"/>
      <c r="P79" s="149" t="n"/>
      <c r="Q79" s="149" t="n"/>
      <c r="R79" s="149" t="n"/>
      <c r="S79" s="149" t="n"/>
      <c r="T79" s="149" t="n"/>
      <c r="U79" s="149" t="n"/>
      <c r="V79" s="149" t="n"/>
      <c r="W79" s="149" t="n"/>
      <c r="X79" s="149" t="n"/>
      <c r="Y79" s="149" t="n"/>
      <c r="Z79" s="149" t="n"/>
      <c r="AA79" s="149" t="n"/>
      <c r="AB79" s="149" t="n"/>
      <c r="AC79" s="149" t="n"/>
      <c r="AD79" s="149" t="n"/>
      <c r="AE79" s="149" t="n"/>
      <c r="AF79" s="149" t="n"/>
      <c r="AG79" s="149" t="n"/>
      <c r="AH79" s="149" t="n"/>
      <c r="AI79" s="149" t="n"/>
      <c r="AJ79" s="149" t="n"/>
      <c r="AK79" s="149" t="n"/>
    </row>
    <row r="80" s="143">
      <c r="A80" s="149" t="n"/>
      <c r="B80" s="149" t="n"/>
      <c r="C80" s="149" t="n"/>
      <c r="D80" s="149" t="n"/>
      <c r="E80" s="149" t="n"/>
      <c r="F80" s="149" t="n"/>
      <c r="G80" s="149" t="n"/>
      <c r="H80" s="149" t="n"/>
      <c r="I80" s="149" t="n"/>
      <c r="J80" s="149" t="n"/>
      <c r="K80" s="149" t="n"/>
      <c r="L80" s="149" t="n"/>
      <c r="M80" s="149" t="n"/>
      <c r="N80" s="149" t="n"/>
      <c r="O80" s="149" t="n"/>
      <c r="P80" s="149" t="n"/>
      <c r="Q80" s="149" t="n"/>
      <c r="R80" s="149" t="n"/>
      <c r="S80" s="149" t="n"/>
      <c r="T80" s="149" t="n"/>
      <c r="U80" s="149" t="n"/>
      <c r="V80" s="149" t="n"/>
      <c r="W80" s="149" t="n"/>
      <c r="X80" s="149" t="n"/>
      <c r="Y80" s="149" t="n"/>
      <c r="Z80" s="149" t="n"/>
      <c r="AA80" s="149" t="n"/>
      <c r="AB80" s="149" t="n"/>
      <c r="AC80" s="149" t="n"/>
      <c r="AD80" s="149" t="n"/>
      <c r="AE80" s="149" t="n"/>
      <c r="AF80" s="149" t="n"/>
      <c r="AG80" s="149" t="n"/>
      <c r="AH80" s="149" t="n"/>
      <c r="AI80" s="149" t="n"/>
      <c r="AJ80" s="149" t="n"/>
      <c r="AK80" s="149" t="n"/>
    </row>
    <row r="81" s="143">
      <c r="A81" s="149" t="n"/>
      <c r="B81" s="149" t="n"/>
      <c r="C81" s="149" t="n"/>
      <c r="D81" s="149" t="n"/>
      <c r="E81" s="149" t="n"/>
      <c r="F81" s="149" t="n"/>
      <c r="G81" s="149" t="n"/>
      <c r="H81" s="149" t="n"/>
      <c r="I81" s="149" t="n"/>
      <c r="J81" s="149" t="n"/>
      <c r="K81" s="149" t="n"/>
      <c r="L81" s="149" t="n"/>
      <c r="M81" s="149" t="n"/>
      <c r="N81" s="149" t="n"/>
      <c r="O81" s="149" t="n"/>
      <c r="P81" s="149" t="n"/>
      <c r="Q81" s="149" t="n"/>
      <c r="R81" s="149" t="n"/>
      <c r="S81" s="149" t="n"/>
      <c r="T81" s="149" t="n"/>
      <c r="U81" s="149" t="n"/>
      <c r="V81" s="149" t="n"/>
      <c r="W81" s="149" t="n"/>
      <c r="X81" s="149" t="n"/>
      <c r="Y81" s="149" t="n"/>
      <c r="Z81" s="149" t="n"/>
      <c r="AA81" s="149" t="n"/>
      <c r="AB81" s="149" t="n"/>
      <c r="AC81" s="149" t="n"/>
      <c r="AD81" s="149" t="n"/>
      <c r="AE81" s="149" t="n"/>
      <c r="AF81" s="149" t="n"/>
      <c r="AG81" s="149" t="n"/>
      <c r="AH81" s="149" t="n"/>
      <c r="AI81" s="149" t="n"/>
      <c r="AJ81" s="149" t="n"/>
      <c r="AK81" s="149" t="n"/>
    </row>
    <row r="82" s="143">
      <c r="A82" s="149" t="n"/>
      <c r="B82" s="149" t="n"/>
      <c r="C82" s="149" t="n"/>
      <c r="D82" s="149" t="n"/>
      <c r="E82" s="149" t="n"/>
      <c r="F82" s="149" t="n"/>
      <c r="G82" s="149" t="n"/>
      <c r="H82" s="149" t="n"/>
      <c r="I82" s="149" t="n"/>
      <c r="J82" s="149" t="n"/>
      <c r="K82" s="149" t="n"/>
      <c r="L82" s="149" t="n"/>
      <c r="M82" s="149" t="n"/>
      <c r="N82" s="149" t="n"/>
      <c r="O82" s="149" t="n"/>
      <c r="P82" s="149" t="n"/>
      <c r="Q82" s="149" t="n"/>
      <c r="R82" s="149" t="n"/>
      <c r="S82" s="149" t="n"/>
      <c r="T82" s="149" t="n"/>
      <c r="U82" s="149" t="n"/>
      <c r="V82" s="149" t="n"/>
      <c r="W82" s="149" t="n"/>
      <c r="X82" s="149" t="n"/>
      <c r="Y82" s="149" t="n"/>
      <c r="Z82" s="149" t="n"/>
      <c r="AA82" s="149" t="n"/>
      <c r="AB82" s="149" t="n"/>
      <c r="AC82" s="149" t="n"/>
      <c r="AD82" s="149" t="n"/>
      <c r="AE82" s="149" t="n"/>
      <c r="AF82" s="149" t="n"/>
      <c r="AG82" s="149" t="n"/>
      <c r="AH82" s="149" t="n"/>
      <c r="AI82" s="149" t="n"/>
      <c r="AJ82" s="149" t="n"/>
      <c r="AK82" s="149" t="n"/>
    </row>
    <row r="83" s="143">
      <c r="A83" s="149" t="n"/>
      <c r="B83" s="149" t="n"/>
      <c r="C83" s="149" t="n"/>
      <c r="D83" s="149" t="n"/>
      <c r="E83" s="149" t="n"/>
      <c r="F83" s="149" t="n"/>
      <c r="G83" s="149" t="n"/>
      <c r="H83" s="149" t="n"/>
      <c r="I83" s="149" t="n"/>
      <c r="J83" s="149" t="n"/>
      <c r="K83" s="149" t="n"/>
      <c r="L83" s="149" t="n"/>
      <c r="M83" s="149" t="n"/>
      <c r="N83" s="149" t="n"/>
      <c r="O83" s="149" t="n"/>
      <c r="P83" s="149" t="n"/>
      <c r="Q83" s="149" t="n"/>
      <c r="R83" s="149" t="n"/>
      <c r="S83" s="149" t="n"/>
      <c r="T83" s="149" t="n"/>
      <c r="U83" s="149" t="n"/>
      <c r="V83" s="149" t="n"/>
      <c r="W83" s="149" t="n"/>
      <c r="X83" s="149" t="n"/>
      <c r="Y83" s="149" t="n"/>
      <c r="Z83" s="149" t="n"/>
      <c r="AA83" s="149" t="n"/>
      <c r="AB83" s="149" t="n"/>
      <c r="AC83" s="149" t="n"/>
      <c r="AD83" s="149" t="n"/>
      <c r="AE83" s="149" t="n"/>
      <c r="AF83" s="149" t="n"/>
      <c r="AG83" s="149" t="n"/>
      <c r="AH83" s="149" t="n"/>
      <c r="AI83" s="149" t="n"/>
      <c r="AJ83" s="149" t="n"/>
      <c r="AK83" s="149" t="n"/>
    </row>
    <row r="84" s="143">
      <c r="A84" s="149" t="n"/>
      <c r="B84" s="149" t="n"/>
      <c r="C84" s="149" t="n"/>
      <c r="D84" s="149" t="n"/>
      <c r="E84" s="149" t="n"/>
      <c r="F84" s="149" t="n"/>
      <c r="G84" s="149" t="n"/>
      <c r="H84" s="149" t="n"/>
      <c r="I84" s="149" t="n"/>
      <c r="J84" s="149" t="n"/>
      <c r="K84" s="149" t="n"/>
      <c r="L84" s="149" t="n"/>
      <c r="M84" s="149" t="n"/>
      <c r="N84" s="149" t="n"/>
      <c r="O84" s="149" t="n"/>
      <c r="P84" s="149" t="n"/>
      <c r="Q84" s="149" t="n"/>
      <c r="R84" s="149" t="n"/>
      <c r="S84" s="149" t="n"/>
      <c r="T84" s="149" t="n"/>
      <c r="U84" s="149" t="n"/>
      <c r="V84" s="149" t="n"/>
      <c r="W84" s="149" t="n"/>
      <c r="X84" s="149" t="n"/>
      <c r="Y84" s="149" t="n"/>
      <c r="Z84" s="149" t="n"/>
      <c r="AA84" s="149" t="n"/>
      <c r="AB84" s="149" t="n"/>
      <c r="AC84" s="149" t="n"/>
      <c r="AD84" s="149" t="n"/>
      <c r="AE84" s="149" t="n"/>
      <c r="AF84" s="149" t="n"/>
      <c r="AG84" s="149" t="n"/>
      <c r="AH84" s="149" t="n"/>
      <c r="AI84" s="149" t="n"/>
      <c r="AJ84" s="149" t="n"/>
      <c r="AK84" s="149" t="n"/>
    </row>
    <row r="85" s="143">
      <c r="A85" s="149" t="n"/>
      <c r="B85" s="149" t="n"/>
      <c r="C85" s="149" t="n"/>
      <c r="D85" s="149" t="n"/>
      <c r="E85" s="149" t="n"/>
      <c r="F85" s="149" t="n"/>
      <c r="G85" s="149" t="n"/>
      <c r="H85" s="149" t="n"/>
      <c r="I85" s="149" t="n"/>
      <c r="J85" s="149" t="n"/>
      <c r="K85" s="149" t="n"/>
      <c r="L85" s="149" t="n"/>
      <c r="M85" s="149" t="n"/>
      <c r="N85" s="149" t="n"/>
      <c r="O85" s="149" t="n"/>
      <c r="P85" s="149" t="n"/>
      <c r="Q85" s="149" t="n"/>
      <c r="R85" s="149" t="n"/>
      <c r="S85" s="149" t="n"/>
      <c r="T85" s="149" t="n"/>
      <c r="U85" s="149" t="n"/>
      <c r="V85" s="149" t="n"/>
      <c r="W85" s="149" t="n"/>
      <c r="X85" s="149" t="n"/>
      <c r="Y85" s="149" t="n"/>
      <c r="Z85" s="149" t="n"/>
      <c r="AA85" s="149" t="n"/>
      <c r="AB85" s="149" t="n"/>
      <c r="AC85" s="149" t="n"/>
      <c r="AD85" s="149" t="n"/>
      <c r="AE85" s="149" t="n"/>
      <c r="AF85" s="149" t="n"/>
      <c r="AG85" s="149" t="n"/>
      <c r="AH85" s="149" t="n"/>
      <c r="AI85" s="149" t="n"/>
      <c r="AJ85" s="149" t="n"/>
      <c r="AK85" s="149" t="n"/>
    </row>
    <row r="86" s="143">
      <c r="A86" s="149" t="n"/>
      <c r="B86" s="149" t="n"/>
      <c r="C86" s="149" t="n"/>
      <c r="D86" s="149" t="n"/>
      <c r="E86" s="149" t="n"/>
      <c r="F86" s="149" t="n"/>
      <c r="G86" s="149" t="n"/>
      <c r="H86" s="149" t="n"/>
      <c r="I86" s="149" t="n"/>
      <c r="J86" s="149" t="n"/>
      <c r="K86" s="149" t="n"/>
      <c r="L86" s="149" t="n"/>
      <c r="M86" s="149" t="n"/>
      <c r="N86" s="149" t="n"/>
      <c r="O86" s="149" t="n"/>
      <c r="P86" s="149" t="n"/>
      <c r="Q86" s="149" t="n"/>
      <c r="R86" s="149" t="n"/>
      <c r="S86" s="149" t="n"/>
      <c r="T86" s="149" t="n"/>
      <c r="U86" s="149" t="n"/>
      <c r="V86" s="149" t="n"/>
      <c r="W86" s="149" t="n"/>
      <c r="X86" s="149" t="n"/>
      <c r="Y86" s="149" t="n"/>
      <c r="Z86" s="149" t="n"/>
      <c r="AA86" s="149" t="n"/>
      <c r="AB86" s="149" t="n"/>
      <c r="AC86" s="149" t="n"/>
      <c r="AD86" s="149" t="n"/>
      <c r="AE86" s="149" t="n"/>
      <c r="AF86" s="149" t="n"/>
      <c r="AG86" s="149" t="n"/>
      <c r="AH86" s="149" t="n"/>
      <c r="AI86" s="149" t="n"/>
      <c r="AJ86" s="149" t="n"/>
      <c r="AK86" s="149" t="n"/>
    </row>
    <row r="87" s="143">
      <c r="A87" s="149" t="n"/>
      <c r="B87" s="149" t="n"/>
      <c r="C87" s="149" t="n"/>
      <c r="D87" s="149" t="n"/>
      <c r="E87" s="149" t="n"/>
      <c r="F87" s="149" t="n"/>
      <c r="G87" s="149" t="n"/>
      <c r="H87" s="149" t="n"/>
      <c r="I87" s="149" t="n"/>
      <c r="J87" s="149" t="n"/>
      <c r="K87" s="149" t="n"/>
      <c r="L87" s="149" t="n"/>
      <c r="M87" s="149" t="n"/>
      <c r="N87" s="149" t="n"/>
      <c r="O87" s="149" t="n"/>
      <c r="P87" s="149" t="n"/>
      <c r="Q87" s="149" t="n"/>
      <c r="R87" s="149" t="n"/>
      <c r="S87" s="149" t="n"/>
      <c r="T87" s="149" t="n"/>
      <c r="U87" s="149" t="n"/>
      <c r="V87" s="149" t="n"/>
      <c r="W87" s="149" t="n"/>
      <c r="X87" s="149" t="n"/>
      <c r="Y87" s="149" t="n"/>
      <c r="Z87" s="149" t="n"/>
      <c r="AA87" s="149" t="n"/>
      <c r="AB87" s="149" t="n"/>
      <c r="AC87" s="149" t="n"/>
      <c r="AD87" s="149" t="n"/>
      <c r="AE87" s="149" t="n"/>
      <c r="AF87" s="149" t="n"/>
      <c r="AG87" s="149" t="n"/>
      <c r="AH87" s="149" t="n"/>
      <c r="AI87" s="149" t="n"/>
      <c r="AJ87" s="149" t="n"/>
      <c r="AK87" s="149" t="n"/>
    </row>
    <row r="88" s="143">
      <c r="A88" s="149" t="n"/>
      <c r="B88" s="149" t="n"/>
      <c r="C88" s="149" t="n"/>
      <c r="D88" s="149" t="n"/>
      <c r="E88" s="149" t="n"/>
      <c r="F88" s="149" t="n"/>
      <c r="G88" s="149" t="n"/>
      <c r="H88" s="149" t="n"/>
      <c r="I88" s="149" t="n"/>
      <c r="J88" s="149" t="n"/>
      <c r="K88" s="149" t="n"/>
      <c r="L88" s="149" t="n"/>
      <c r="M88" s="149" t="n"/>
      <c r="N88" s="149" t="n"/>
      <c r="O88" s="149" t="n"/>
      <c r="P88" s="149" t="n"/>
      <c r="Q88" s="149" t="n"/>
      <c r="R88" s="149" t="n"/>
      <c r="S88" s="149" t="n"/>
      <c r="T88" s="149" t="n"/>
      <c r="U88" s="149" t="n"/>
      <c r="V88" s="149" t="n"/>
      <c r="W88" s="149" t="n"/>
      <c r="X88" s="149" t="n"/>
      <c r="Y88" s="149" t="n"/>
      <c r="Z88" s="149" t="n"/>
      <c r="AA88" s="149" t="n"/>
      <c r="AB88" s="149" t="n"/>
      <c r="AC88" s="149" t="n"/>
      <c r="AD88" s="149" t="n"/>
      <c r="AE88" s="149" t="n"/>
      <c r="AF88" s="149" t="n"/>
      <c r="AG88" s="149" t="n"/>
      <c r="AH88" s="149" t="n"/>
      <c r="AI88" s="149" t="n"/>
      <c r="AJ88" s="149" t="n"/>
      <c r="AK88" s="149" t="n"/>
    </row>
    <row r="89" s="143">
      <c r="A89" s="149" t="n"/>
      <c r="B89" s="149" t="n"/>
      <c r="C89" s="149" t="n"/>
      <c r="D89" s="149" t="n"/>
      <c r="E89" s="149" t="n"/>
      <c r="F89" s="149" t="n"/>
      <c r="G89" s="149" t="n"/>
      <c r="H89" s="149" t="n"/>
      <c r="I89" s="149" t="n"/>
      <c r="J89" s="149" t="n"/>
      <c r="K89" s="149" t="n"/>
      <c r="L89" s="149" t="n"/>
      <c r="M89" s="149" t="n"/>
      <c r="N89" s="149" t="n"/>
      <c r="O89" s="149" t="n"/>
      <c r="P89" s="149" t="n"/>
      <c r="Q89" s="149" t="n"/>
      <c r="R89" s="149" t="n"/>
      <c r="S89" s="149" t="n"/>
      <c r="T89" s="149" t="n"/>
      <c r="U89" s="149" t="n"/>
      <c r="V89" s="149" t="n"/>
      <c r="W89" s="149" t="n"/>
      <c r="X89" s="149" t="n"/>
      <c r="Y89" s="149" t="n"/>
      <c r="Z89" s="149" t="n"/>
      <c r="AA89" s="149" t="n"/>
      <c r="AB89" s="149" t="n"/>
      <c r="AC89" s="149" t="n"/>
      <c r="AD89" s="149" t="n"/>
      <c r="AE89" s="149" t="n"/>
      <c r="AF89" s="149" t="n"/>
      <c r="AG89" s="149" t="n"/>
      <c r="AH89" s="149" t="n"/>
      <c r="AI89" s="149" t="n"/>
      <c r="AJ89" s="149" t="n"/>
      <c r="AK89" s="149" t="n"/>
    </row>
    <row r="90" s="143">
      <c r="A90" s="149" t="n"/>
      <c r="B90" s="149" t="n"/>
      <c r="C90" s="149" t="n"/>
      <c r="D90" s="149" t="n"/>
      <c r="E90" s="149" t="n"/>
      <c r="F90" s="149" t="n"/>
      <c r="G90" s="149" t="n"/>
      <c r="H90" s="149" t="n"/>
      <c r="I90" s="149" t="n"/>
      <c r="J90" s="149" t="n"/>
      <c r="K90" s="149" t="n"/>
      <c r="L90" s="149" t="n"/>
      <c r="M90" s="149" t="n"/>
      <c r="N90" s="149" t="n"/>
      <c r="O90" s="149" t="n"/>
      <c r="P90" s="149" t="n"/>
      <c r="Q90" s="149" t="n"/>
      <c r="R90" s="149" t="n"/>
      <c r="S90" s="149" t="n"/>
      <c r="T90" s="149" t="n"/>
      <c r="U90" s="149" t="n"/>
      <c r="V90" s="149" t="n"/>
      <c r="W90" s="149" t="n"/>
      <c r="X90" s="149" t="n"/>
      <c r="Y90" s="149" t="n"/>
      <c r="Z90" s="149" t="n"/>
      <c r="AA90" s="149" t="n"/>
      <c r="AB90" s="149" t="n"/>
      <c r="AC90" s="149" t="n"/>
      <c r="AD90" s="149" t="n"/>
      <c r="AE90" s="149" t="n"/>
      <c r="AF90" s="149" t="n"/>
      <c r="AG90" s="149" t="n"/>
      <c r="AH90" s="149" t="n"/>
      <c r="AI90" s="149" t="n"/>
      <c r="AJ90" s="149" t="n"/>
      <c r="AK90" s="149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topLeftCell="Q1" zoomScaleNormal="10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K4" sqref="AK4"/>
    </sheetView>
  </sheetViews>
  <sheetFormatPr baseColWidth="10" defaultColWidth="8.83203125" defaultRowHeight="15"/>
  <cols>
    <col width="74.5" customWidth="1" style="143" min="1" max="1"/>
    <col width="8.5" customWidth="1" style="143" min="2" max="25"/>
    <col width="9.5" customWidth="1" style="143" min="26" max="37"/>
  </cols>
  <sheetData>
    <row r="1" ht="22" customHeight="1" s="143">
      <c r="A1" s="6" t="inlineStr">
        <is>
          <t>BASE GRAPHIQUE — séries mensuelles pour les graphiques du Dashboard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 ht="15" customHeight="1" s="143">
      <c r="A2" s="68" t="inlineStr">
        <is>
          <t>Mois</t>
        </is>
      </c>
      <c r="B2" s="71" t="n">
        <v>1</v>
      </c>
      <c r="C2" s="71" t="n">
        <v>2</v>
      </c>
      <c r="D2" s="71" t="n">
        <v>3</v>
      </c>
      <c r="E2" s="71" t="n">
        <v>4</v>
      </c>
      <c r="F2" s="71" t="n">
        <v>5</v>
      </c>
      <c r="G2" s="71" t="n">
        <v>6</v>
      </c>
      <c r="H2" s="71" t="n">
        <v>7</v>
      </c>
      <c r="I2" s="71" t="n">
        <v>8</v>
      </c>
      <c r="J2" s="71" t="n">
        <v>9</v>
      </c>
      <c r="K2" s="71" t="n">
        <v>10</v>
      </c>
      <c r="L2" s="71" t="n">
        <v>11</v>
      </c>
      <c r="M2" s="71" t="n">
        <v>12</v>
      </c>
      <c r="N2" s="71" t="n">
        <v>13</v>
      </c>
      <c r="O2" s="71" t="n">
        <v>14</v>
      </c>
      <c r="P2" s="71" t="n">
        <v>15</v>
      </c>
      <c r="Q2" s="71" t="n">
        <v>16</v>
      </c>
      <c r="R2" s="71" t="n">
        <v>17</v>
      </c>
      <c r="S2" s="71" t="n">
        <v>18</v>
      </c>
      <c r="T2" s="71" t="n">
        <v>19</v>
      </c>
      <c r="U2" s="71" t="n">
        <v>20</v>
      </c>
      <c r="V2" s="71" t="n">
        <v>21</v>
      </c>
      <c r="W2" s="71" t="n">
        <v>22</v>
      </c>
      <c r="X2" s="71" t="n">
        <v>23</v>
      </c>
      <c r="Y2" s="71" t="n">
        <v>24</v>
      </c>
      <c r="Z2" s="71" t="n">
        <v>25</v>
      </c>
      <c r="AA2" s="71" t="n">
        <v>26</v>
      </c>
      <c r="AB2" s="71" t="n">
        <v>27</v>
      </c>
      <c r="AC2" s="71" t="n">
        <v>28</v>
      </c>
      <c r="AD2" s="71" t="n">
        <v>29</v>
      </c>
      <c r="AE2" s="71" t="n">
        <v>30</v>
      </c>
      <c r="AF2" s="71" t="n">
        <v>31</v>
      </c>
      <c r="AG2" s="71" t="n">
        <v>32</v>
      </c>
      <c r="AH2" s="71" t="n">
        <v>33</v>
      </c>
      <c r="AI2" s="71" t="n">
        <v>34</v>
      </c>
      <c r="AJ2" s="71" t="n">
        <v>35</v>
      </c>
      <c r="AK2" s="71" t="n">
        <v>36</v>
      </c>
    </row>
    <row r="3" ht="15" customHeight="1" s="143">
      <c r="A3" s="11" t="inlineStr">
        <is>
          <t>Chiffre d'affaires</t>
        </is>
      </c>
      <c r="B3" s="215">
        <f>'P&amp;L'!B5</f>
        <v/>
      </c>
      <c r="C3" s="215">
        <f>'P&amp;L'!C5</f>
        <v/>
      </c>
      <c r="D3" s="215">
        <f>'P&amp;L'!D5</f>
        <v/>
      </c>
      <c r="E3" s="215">
        <f>'P&amp;L'!E5</f>
        <v/>
      </c>
      <c r="F3" s="215">
        <f>'P&amp;L'!F5</f>
        <v/>
      </c>
      <c r="G3" s="215">
        <f>'P&amp;L'!G5</f>
        <v/>
      </c>
      <c r="H3" s="215">
        <f>'P&amp;L'!H5</f>
        <v/>
      </c>
      <c r="I3" s="215">
        <f>'P&amp;L'!I5</f>
        <v/>
      </c>
      <c r="J3" s="215">
        <f>'P&amp;L'!J5</f>
        <v/>
      </c>
      <c r="K3" s="215">
        <f>'P&amp;L'!K5</f>
        <v/>
      </c>
      <c r="L3" s="215">
        <f>'P&amp;L'!L5</f>
        <v/>
      </c>
      <c r="M3" s="215">
        <f>'P&amp;L'!M5</f>
        <v/>
      </c>
      <c r="N3" s="215">
        <f>'P&amp;L'!N5</f>
        <v/>
      </c>
      <c r="O3" s="215">
        <f>'P&amp;L'!O5</f>
        <v/>
      </c>
      <c r="P3" s="215">
        <f>'P&amp;L'!P5</f>
        <v/>
      </c>
      <c r="Q3" s="215">
        <f>'P&amp;L'!Q5</f>
        <v/>
      </c>
      <c r="R3" s="215">
        <f>'P&amp;L'!R5</f>
        <v/>
      </c>
      <c r="S3" s="215">
        <f>'P&amp;L'!S5</f>
        <v/>
      </c>
      <c r="T3" s="215">
        <f>'P&amp;L'!T5</f>
        <v/>
      </c>
      <c r="U3" s="215">
        <f>'P&amp;L'!U5</f>
        <v/>
      </c>
      <c r="V3" s="215">
        <f>'P&amp;L'!V5</f>
        <v/>
      </c>
      <c r="W3" s="215">
        <f>'P&amp;L'!W5</f>
        <v/>
      </c>
      <c r="X3" s="215">
        <f>'P&amp;L'!X5</f>
        <v/>
      </c>
      <c r="Y3" s="215">
        <f>'P&amp;L'!Y5</f>
        <v/>
      </c>
      <c r="Z3" s="215">
        <f>'P&amp;L'!Z5</f>
        <v/>
      </c>
      <c r="AA3" s="215">
        <f>'P&amp;L'!AA5</f>
        <v/>
      </c>
      <c r="AB3" s="215">
        <f>'P&amp;L'!AB5</f>
        <v/>
      </c>
      <c r="AC3" s="215">
        <f>'P&amp;L'!AC5</f>
        <v/>
      </c>
      <c r="AD3" s="215">
        <f>'P&amp;L'!AD5</f>
        <v/>
      </c>
      <c r="AE3" s="215">
        <f>'P&amp;L'!AE5</f>
        <v/>
      </c>
      <c r="AF3" s="215">
        <f>'P&amp;L'!AF5</f>
        <v/>
      </c>
      <c r="AG3" s="215">
        <f>'P&amp;L'!AG5</f>
        <v/>
      </c>
      <c r="AH3" s="215">
        <f>'P&amp;L'!AH5</f>
        <v/>
      </c>
      <c r="AI3" s="215">
        <f>'P&amp;L'!AI5</f>
        <v/>
      </c>
      <c r="AJ3" s="215">
        <f>'P&amp;L'!AJ5</f>
        <v/>
      </c>
      <c r="AK3" s="215">
        <f>'P&amp;L'!AK5</f>
        <v/>
      </c>
    </row>
    <row r="4" ht="15" customHeight="1" s="143">
      <c r="A4" s="11" t="inlineStr">
        <is>
          <t>Résultat net</t>
        </is>
      </c>
      <c r="B4" s="215">
        <f>'P&amp;L'!B25</f>
        <v/>
      </c>
      <c r="C4" s="215">
        <f>'P&amp;L'!C25</f>
        <v/>
      </c>
      <c r="D4" s="215">
        <f>'P&amp;L'!D25</f>
        <v/>
      </c>
      <c r="E4" s="215">
        <f>'P&amp;L'!E25</f>
        <v/>
      </c>
      <c r="F4" s="215">
        <f>'P&amp;L'!F25</f>
        <v/>
      </c>
      <c r="G4" s="215">
        <f>'P&amp;L'!G25</f>
        <v/>
      </c>
      <c r="H4" s="215">
        <f>'P&amp;L'!H25</f>
        <v/>
      </c>
      <c r="I4" s="215">
        <f>'P&amp;L'!I25</f>
        <v/>
      </c>
      <c r="J4" s="215">
        <f>'P&amp;L'!J25</f>
        <v/>
      </c>
      <c r="K4" s="215">
        <f>'P&amp;L'!K25</f>
        <v/>
      </c>
      <c r="L4" s="215">
        <f>'P&amp;L'!L25</f>
        <v/>
      </c>
      <c r="M4" s="215">
        <f>'P&amp;L'!M25</f>
        <v/>
      </c>
      <c r="N4" s="215">
        <f>'P&amp;L'!N25</f>
        <v/>
      </c>
      <c r="O4" s="215">
        <f>'P&amp;L'!O25</f>
        <v/>
      </c>
      <c r="P4" s="215">
        <f>'P&amp;L'!P25</f>
        <v/>
      </c>
      <c r="Q4" s="215">
        <f>'P&amp;L'!Q25</f>
        <v/>
      </c>
      <c r="R4" s="215">
        <f>'P&amp;L'!R25</f>
        <v/>
      </c>
      <c r="S4" s="215">
        <f>'P&amp;L'!S25</f>
        <v/>
      </c>
      <c r="T4" s="215">
        <f>'P&amp;L'!T25</f>
        <v/>
      </c>
      <c r="U4" s="215">
        <f>'P&amp;L'!U25</f>
        <v/>
      </c>
      <c r="V4" s="215">
        <f>'P&amp;L'!V25</f>
        <v/>
      </c>
      <c r="W4" s="215">
        <f>'P&amp;L'!W25</f>
        <v/>
      </c>
      <c r="X4" s="215">
        <f>'P&amp;L'!X25</f>
        <v/>
      </c>
      <c r="Y4" s="215">
        <f>'P&amp;L'!Y25</f>
        <v/>
      </c>
      <c r="Z4" s="215">
        <f>'P&amp;L'!Z25</f>
        <v/>
      </c>
      <c r="AA4" s="215">
        <f>'P&amp;L'!AA25</f>
        <v/>
      </c>
      <c r="AB4" s="215">
        <f>'P&amp;L'!AB25</f>
        <v/>
      </c>
      <c r="AC4" s="215">
        <f>'P&amp;L'!AC25</f>
        <v/>
      </c>
      <c r="AD4" s="215">
        <f>'P&amp;L'!AD25</f>
        <v/>
      </c>
      <c r="AE4" s="215">
        <f>'P&amp;L'!AE25</f>
        <v/>
      </c>
      <c r="AF4" s="215">
        <f>'P&amp;L'!AF25</f>
        <v/>
      </c>
      <c r="AG4" s="215">
        <f>'P&amp;L'!AG25</f>
        <v/>
      </c>
      <c r="AH4" s="215">
        <f>'P&amp;L'!AH25</f>
        <v/>
      </c>
      <c r="AI4" s="215">
        <f>'P&amp;L'!AI25</f>
        <v/>
      </c>
      <c r="AJ4" s="215">
        <f>'P&amp;L'!AJ25</f>
        <v/>
      </c>
      <c r="AK4" s="215">
        <f>'P&amp;L'!AK25</f>
        <v/>
      </c>
    </row>
    <row r="5" ht="15" customHeight="1" s="143">
      <c r="A5" s="11" t="inlineStr">
        <is>
          <t>Trésorerie de clôture</t>
        </is>
      </c>
      <c r="B5" s="215">
        <f>Tresorerie!D25</f>
        <v/>
      </c>
      <c r="C5" s="215">
        <f>Tresorerie!E25</f>
        <v/>
      </c>
      <c r="D5" s="215">
        <f>Tresorerie!F25</f>
        <v/>
      </c>
      <c r="E5" s="215">
        <f>Tresorerie!G25</f>
        <v/>
      </c>
      <c r="F5" s="215">
        <f>Tresorerie!H25</f>
        <v/>
      </c>
      <c r="G5" s="215">
        <f>Tresorerie!I25</f>
        <v/>
      </c>
      <c r="H5" s="215">
        <f>Tresorerie!J25</f>
        <v/>
      </c>
      <c r="I5" s="215">
        <f>Tresorerie!K25</f>
        <v/>
      </c>
      <c r="J5" s="215">
        <f>Tresorerie!L25</f>
        <v/>
      </c>
      <c r="K5" s="215">
        <f>Tresorerie!M25</f>
        <v/>
      </c>
      <c r="L5" s="215">
        <f>Tresorerie!N25</f>
        <v/>
      </c>
      <c r="M5" s="215">
        <f>Tresorerie!O25</f>
        <v/>
      </c>
      <c r="N5" s="215">
        <f>Tresorerie!P25</f>
        <v/>
      </c>
      <c r="O5" s="215">
        <f>Tresorerie!Q25</f>
        <v/>
      </c>
      <c r="P5" s="215">
        <f>Tresorerie!R25</f>
        <v/>
      </c>
      <c r="Q5" s="215">
        <f>Tresorerie!S25</f>
        <v/>
      </c>
      <c r="R5" s="215">
        <f>Tresorerie!T25</f>
        <v/>
      </c>
      <c r="S5" s="215">
        <f>Tresorerie!U25</f>
        <v/>
      </c>
      <c r="T5" s="215">
        <f>Tresorerie!V25</f>
        <v/>
      </c>
      <c r="U5" s="215">
        <f>Tresorerie!W25</f>
        <v/>
      </c>
      <c r="V5" s="215">
        <f>Tresorerie!X25</f>
        <v/>
      </c>
      <c r="W5" s="215">
        <f>Tresorerie!Y25</f>
        <v/>
      </c>
      <c r="X5" s="215">
        <f>Tresorerie!Z25</f>
        <v/>
      </c>
      <c r="Y5" s="215">
        <f>Tresorerie!AA25</f>
        <v/>
      </c>
      <c r="Z5" s="215">
        <f>Tresorerie!AB25</f>
        <v/>
      </c>
      <c r="AA5" s="215">
        <f>Tresorerie!AC25</f>
        <v/>
      </c>
      <c r="AB5" s="215">
        <f>Tresorerie!AD25</f>
        <v/>
      </c>
      <c r="AC5" s="215">
        <f>Tresorerie!AE25</f>
        <v/>
      </c>
      <c r="AD5" s="215">
        <f>Tresorerie!AF25</f>
        <v/>
      </c>
      <c r="AE5" s="215">
        <f>Tresorerie!AG25</f>
        <v/>
      </c>
      <c r="AF5" s="215">
        <f>Tresorerie!AH25</f>
        <v/>
      </c>
      <c r="AG5" s="215">
        <f>Tresorerie!AI25</f>
        <v/>
      </c>
      <c r="AH5" s="215">
        <f>Tresorerie!AJ25</f>
        <v/>
      </c>
      <c r="AI5" s="215">
        <f>Tresorerie!AK25</f>
        <v/>
      </c>
      <c r="AJ5" s="215">
        <f>Tresorerie!AL25</f>
        <v/>
      </c>
      <c r="AK5" s="215">
        <f>Tresorerie!AM25</f>
        <v/>
      </c>
    </row>
    <row r="6" ht="15" customHeight="1" s="143">
      <c r="A6" s="11" t="inlineStr">
        <is>
          <t>MRR</t>
        </is>
      </c>
      <c r="B6" s="215">
        <f>'Plan ventes'!B61</f>
        <v/>
      </c>
      <c r="C6" s="215">
        <f>'Plan ventes'!C61</f>
        <v/>
      </c>
      <c r="D6" s="215">
        <f>'Plan ventes'!D61</f>
        <v/>
      </c>
      <c r="E6" s="215">
        <f>'Plan ventes'!E61</f>
        <v/>
      </c>
      <c r="F6" s="215">
        <f>'Plan ventes'!F61</f>
        <v/>
      </c>
      <c r="G6" s="215">
        <f>'Plan ventes'!G61</f>
        <v/>
      </c>
      <c r="H6" s="215">
        <f>'Plan ventes'!H61</f>
        <v/>
      </c>
      <c r="I6" s="215">
        <f>'Plan ventes'!I61</f>
        <v/>
      </c>
      <c r="J6" s="215">
        <f>'Plan ventes'!J61</f>
        <v/>
      </c>
      <c r="K6" s="215">
        <f>'Plan ventes'!K61</f>
        <v/>
      </c>
      <c r="L6" s="215">
        <f>'Plan ventes'!L61</f>
        <v/>
      </c>
      <c r="M6" s="215">
        <f>'Plan ventes'!M61</f>
        <v/>
      </c>
      <c r="N6" s="215">
        <f>'Plan ventes'!N61</f>
        <v/>
      </c>
      <c r="O6" s="215">
        <f>'Plan ventes'!O61</f>
        <v/>
      </c>
      <c r="P6" s="215">
        <f>'Plan ventes'!P61</f>
        <v/>
      </c>
      <c r="Q6" s="215">
        <f>'Plan ventes'!Q61</f>
        <v/>
      </c>
      <c r="R6" s="215">
        <f>'Plan ventes'!R61</f>
        <v/>
      </c>
      <c r="S6" s="215">
        <f>'Plan ventes'!S61</f>
        <v/>
      </c>
      <c r="T6" s="215">
        <f>'Plan ventes'!T61</f>
        <v/>
      </c>
      <c r="U6" s="215">
        <f>'Plan ventes'!U61</f>
        <v/>
      </c>
      <c r="V6" s="215">
        <f>'Plan ventes'!V61</f>
        <v/>
      </c>
      <c r="W6" s="215">
        <f>'Plan ventes'!W61</f>
        <v/>
      </c>
      <c r="X6" s="215">
        <f>'Plan ventes'!X61</f>
        <v/>
      </c>
      <c r="Y6" s="215">
        <f>'Plan ventes'!Y61</f>
        <v/>
      </c>
      <c r="Z6" s="215">
        <f>'Plan ventes'!Z61</f>
        <v/>
      </c>
      <c r="AA6" s="215">
        <f>'Plan ventes'!AA61</f>
        <v/>
      </c>
      <c r="AB6" s="215">
        <f>'Plan ventes'!AB61</f>
        <v/>
      </c>
      <c r="AC6" s="215">
        <f>'Plan ventes'!AC61</f>
        <v/>
      </c>
      <c r="AD6" s="215">
        <f>'Plan ventes'!AD61</f>
        <v/>
      </c>
      <c r="AE6" s="215">
        <f>'Plan ventes'!AE61</f>
        <v/>
      </c>
      <c r="AF6" s="215">
        <f>'Plan ventes'!AF61</f>
        <v/>
      </c>
      <c r="AG6" s="215">
        <f>'Plan ventes'!AG61</f>
        <v/>
      </c>
      <c r="AH6" s="215">
        <f>'Plan ventes'!AH61</f>
        <v/>
      </c>
      <c r="AI6" s="215">
        <f>'Plan ventes'!AI61</f>
        <v/>
      </c>
      <c r="AJ6" s="215">
        <f>'Plan ventes'!AJ61</f>
        <v/>
      </c>
      <c r="AK6" s="215">
        <f>'Plan ventes'!AK61</f>
        <v/>
      </c>
    </row>
    <row r="7" ht="15" customHeight="1" s="143">
      <c r="A7" s="11" t="inlineStr">
        <is>
          <t>GMV</t>
        </is>
      </c>
      <c r="B7" s="215">
        <f>'Plan ventes'!B60</f>
        <v/>
      </c>
      <c r="C7" s="215">
        <f>'Plan ventes'!C60</f>
        <v/>
      </c>
      <c r="D7" s="215">
        <f>'Plan ventes'!D60</f>
        <v/>
      </c>
      <c r="E7" s="215">
        <f>'Plan ventes'!E60</f>
        <v/>
      </c>
      <c r="F7" s="215">
        <f>'Plan ventes'!F60</f>
        <v/>
      </c>
      <c r="G7" s="215">
        <f>'Plan ventes'!G60</f>
        <v/>
      </c>
      <c r="H7" s="215">
        <f>'Plan ventes'!H60</f>
        <v/>
      </c>
      <c r="I7" s="215">
        <f>'Plan ventes'!I60</f>
        <v/>
      </c>
      <c r="J7" s="215">
        <f>'Plan ventes'!J60</f>
        <v/>
      </c>
      <c r="K7" s="215">
        <f>'Plan ventes'!K60</f>
        <v/>
      </c>
      <c r="L7" s="215">
        <f>'Plan ventes'!L60</f>
        <v/>
      </c>
      <c r="M7" s="215">
        <f>'Plan ventes'!M60</f>
        <v/>
      </c>
      <c r="N7" s="215">
        <f>'Plan ventes'!N60</f>
        <v/>
      </c>
      <c r="O7" s="215">
        <f>'Plan ventes'!O60</f>
        <v/>
      </c>
      <c r="P7" s="215">
        <f>'Plan ventes'!P60</f>
        <v/>
      </c>
      <c r="Q7" s="215">
        <f>'Plan ventes'!Q60</f>
        <v/>
      </c>
      <c r="R7" s="215">
        <f>'Plan ventes'!R60</f>
        <v/>
      </c>
      <c r="S7" s="215">
        <f>'Plan ventes'!S60</f>
        <v/>
      </c>
      <c r="T7" s="215">
        <f>'Plan ventes'!T60</f>
        <v/>
      </c>
      <c r="U7" s="215">
        <f>'Plan ventes'!U60</f>
        <v/>
      </c>
      <c r="V7" s="215">
        <f>'Plan ventes'!V60</f>
        <v/>
      </c>
      <c r="W7" s="215">
        <f>'Plan ventes'!W60</f>
        <v/>
      </c>
      <c r="X7" s="215">
        <f>'Plan ventes'!X60</f>
        <v/>
      </c>
      <c r="Y7" s="215">
        <f>'Plan ventes'!Y60</f>
        <v/>
      </c>
      <c r="Z7" s="215">
        <f>'Plan ventes'!Z60</f>
        <v/>
      </c>
      <c r="AA7" s="215">
        <f>'Plan ventes'!AA60</f>
        <v/>
      </c>
      <c r="AB7" s="215">
        <f>'Plan ventes'!AB60</f>
        <v/>
      </c>
      <c r="AC7" s="215">
        <f>'Plan ventes'!AC60</f>
        <v/>
      </c>
      <c r="AD7" s="215">
        <f>'Plan ventes'!AD60</f>
        <v/>
      </c>
      <c r="AE7" s="215">
        <f>'Plan ventes'!AE60</f>
        <v/>
      </c>
      <c r="AF7" s="215">
        <f>'Plan ventes'!AF60</f>
        <v/>
      </c>
      <c r="AG7" s="215">
        <f>'Plan ventes'!AG60</f>
        <v/>
      </c>
      <c r="AH7" s="215">
        <f>'Plan ventes'!AH60</f>
        <v/>
      </c>
      <c r="AI7" s="215">
        <f>'Plan ventes'!AI60</f>
        <v/>
      </c>
      <c r="AJ7" s="215">
        <f>'Plan ventes'!AJ60</f>
        <v/>
      </c>
      <c r="AK7" s="215">
        <f>'Plan ventes'!AK60</f>
        <v/>
      </c>
    </row>
    <row r="8" ht="15" customHeight="1" s="143">
      <c r="A8" s="11" t="inlineStr">
        <is>
          <t>Résultat net cumulé</t>
        </is>
      </c>
      <c r="B8" s="216">
        <f>B4</f>
        <v/>
      </c>
      <c r="C8" s="216">
        <f>B8+C4</f>
        <v/>
      </c>
      <c r="D8" s="216">
        <f>C8+D4</f>
        <v/>
      </c>
      <c r="E8" s="216">
        <f>D8+E4</f>
        <v/>
      </c>
      <c r="F8" s="216">
        <f>E8+F4</f>
        <v/>
      </c>
      <c r="G8" s="216">
        <f>F8+G4</f>
        <v/>
      </c>
      <c r="H8" s="216">
        <f>G8+H4</f>
        <v/>
      </c>
      <c r="I8" s="216">
        <f>H8+I4</f>
        <v/>
      </c>
      <c r="J8" s="216">
        <f>I8+J4</f>
        <v/>
      </c>
      <c r="K8" s="216">
        <f>J8+K4</f>
        <v/>
      </c>
      <c r="L8" s="216">
        <f>K8+L4</f>
        <v/>
      </c>
      <c r="M8" s="216">
        <f>L8+M4</f>
        <v/>
      </c>
      <c r="N8" s="216">
        <f>M8+N4</f>
        <v/>
      </c>
      <c r="O8" s="216">
        <f>N8+O4</f>
        <v/>
      </c>
      <c r="P8" s="216">
        <f>O8+P4</f>
        <v/>
      </c>
      <c r="Q8" s="216">
        <f>P8+Q4</f>
        <v/>
      </c>
      <c r="R8" s="216">
        <f>Q8+R4</f>
        <v/>
      </c>
      <c r="S8" s="216">
        <f>R8+S4</f>
        <v/>
      </c>
      <c r="T8" s="216">
        <f>S8+T4</f>
        <v/>
      </c>
      <c r="U8" s="216">
        <f>T8+U4</f>
        <v/>
      </c>
      <c r="V8" s="216">
        <f>U8+V4</f>
        <v/>
      </c>
      <c r="W8" s="216">
        <f>V8+W4</f>
        <v/>
      </c>
      <c r="X8" s="216">
        <f>W8+X4</f>
        <v/>
      </c>
      <c r="Y8" s="216">
        <f>X8+Y4</f>
        <v/>
      </c>
      <c r="Z8" s="216">
        <f>Y8+Z4</f>
        <v/>
      </c>
      <c r="AA8" s="216">
        <f>Z8+AA4</f>
        <v/>
      </c>
      <c r="AB8" s="216">
        <f>AA8+AB4</f>
        <v/>
      </c>
      <c r="AC8" s="216">
        <f>AB8+AC4</f>
        <v/>
      </c>
      <c r="AD8" s="216">
        <f>AC8+AD4</f>
        <v/>
      </c>
      <c r="AE8" s="216">
        <f>AD8+AE4</f>
        <v/>
      </c>
      <c r="AF8" s="216">
        <f>AE8+AF4</f>
        <v/>
      </c>
      <c r="AG8" s="216">
        <f>AF8+AG4</f>
        <v/>
      </c>
      <c r="AH8" s="216">
        <f>AG8+AH4</f>
        <v/>
      </c>
      <c r="AI8" s="216">
        <f>AH8+AI4</f>
        <v/>
      </c>
      <c r="AJ8" s="216">
        <f>AI8+AJ4</f>
        <v/>
      </c>
      <c r="AK8" s="216">
        <f>AJ8+AK4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2026-08-24T22:31:12Z</dcterms:created>
  <dcterms:modified xmlns:dcterms="http://purl.org/dc/terms/" xmlns:xsi="http://www.w3.org/2001/XMLSchema-instance" xsi:type="dcterms:W3CDTF">2026-09-01T21:12:34Z</dcterms:modified>
  <cp:lastModifiedBy>Microsoft Office User</cp:lastModifiedBy>
  <cp:revision>10</cp:revision>
</cp:coreProperties>
</file>