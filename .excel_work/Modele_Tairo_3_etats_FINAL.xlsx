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cbookair/Desktop/tairotairo/.excel_work/"/>
    </mc:Choice>
  </mc:AlternateContent>
  <xr:revisionPtr revIDLastSave="0" documentId="8_{813B0438-258D-B24A-BDDD-ADCE37549EA7}" xr6:coauthVersionLast="47" xr6:coauthVersionMax="47" xr10:uidLastSave="{00000000-0000-0000-0000-000000000000}"/>
  <bookViews>
    <workbookView xWindow="0" yWindow="500" windowWidth="27320" windowHeight="14860" tabRatio="500" activeTab="1" xr2:uid="{00000000-000D-0000-FFFF-FFFF00000000}"/>
  </bookViews>
  <sheets>
    <sheet name="Lisez-moi" sheetId="1" r:id="rId1"/>
    <sheet name="Dashboard" sheetId="2" r:id="rId2"/>
    <sheet name="Parametres" sheetId="3" r:id="rId3"/>
    <sheet name="Scenarios" sheetId="4" r:id="rId4"/>
    <sheet name="Plan ventes" sheetId="5" r:id="rId5"/>
    <sheet name="Contribution" sheetId="6" r:id="rId6"/>
    <sheet name="P&amp;L" sheetId="7" r:id="rId7"/>
    <sheet name="Bilan" sheetId="8" r:id="rId8"/>
    <sheet name="Amortissements" sheetId="9" r:id="rId9"/>
    <sheet name="Financement" sheetId="10" r:id="rId10"/>
    <sheet name="Tresorerie" sheetId="11" r:id="rId11"/>
    <sheet name="KPI" sheetId="12" r:id="rId12"/>
    <sheet name="Base graphique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12" l="1"/>
  <c r="B11" i="12"/>
  <c r="AK3" i="12"/>
  <c r="AJ3" i="12"/>
  <c r="AI3" i="12"/>
  <c r="AH3" i="12"/>
  <c r="AG3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AM18" i="11"/>
  <c r="AL18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AF15" i="11"/>
  <c r="P15" i="11"/>
  <c r="AM14" i="11"/>
  <c r="AM15" i="11" s="1"/>
  <c r="AL14" i="11"/>
  <c r="AL15" i="11" s="1"/>
  <c r="AK14" i="11"/>
  <c r="AK15" i="11" s="1"/>
  <c r="AJ14" i="11"/>
  <c r="AJ15" i="11" s="1"/>
  <c r="AI14" i="11"/>
  <c r="AI15" i="11" s="1"/>
  <c r="AH14" i="11"/>
  <c r="AH15" i="11" s="1"/>
  <c r="AG14" i="11"/>
  <c r="AG15" i="11" s="1"/>
  <c r="AF14" i="11"/>
  <c r="AE14" i="11"/>
  <c r="AE15" i="11" s="1"/>
  <c r="AD14" i="11"/>
  <c r="AD15" i="11" s="1"/>
  <c r="AC14" i="11"/>
  <c r="AC15" i="11" s="1"/>
  <c r="AB14" i="11"/>
  <c r="AB15" i="11" s="1"/>
  <c r="AA14" i="11"/>
  <c r="AA15" i="11" s="1"/>
  <c r="Z14" i="11"/>
  <c r="Z15" i="11" s="1"/>
  <c r="Y14" i="11"/>
  <c r="Y15" i="11" s="1"/>
  <c r="X14" i="11"/>
  <c r="X15" i="11" s="1"/>
  <c r="W14" i="11"/>
  <c r="W15" i="11" s="1"/>
  <c r="V14" i="11"/>
  <c r="V15" i="11" s="1"/>
  <c r="U14" i="11"/>
  <c r="U15" i="11" s="1"/>
  <c r="T14" i="11"/>
  <c r="T15" i="11" s="1"/>
  <c r="S14" i="11"/>
  <c r="S15" i="11" s="1"/>
  <c r="R14" i="11"/>
  <c r="R15" i="11" s="1"/>
  <c r="Q14" i="11"/>
  <c r="Q15" i="11" s="1"/>
  <c r="P14" i="11"/>
  <c r="O14" i="11"/>
  <c r="O15" i="11" s="1"/>
  <c r="N14" i="11"/>
  <c r="N15" i="11" s="1"/>
  <c r="M14" i="11"/>
  <c r="M15" i="11" s="1"/>
  <c r="L14" i="11"/>
  <c r="L15" i="11" s="1"/>
  <c r="K14" i="11"/>
  <c r="K15" i="11" s="1"/>
  <c r="J14" i="11"/>
  <c r="J15" i="11" s="1"/>
  <c r="I14" i="11"/>
  <c r="I15" i="11" s="1"/>
  <c r="H14" i="11"/>
  <c r="H15" i="11" s="1"/>
  <c r="G14" i="11"/>
  <c r="G15" i="11" s="1"/>
  <c r="F14" i="11"/>
  <c r="F15" i="11" s="1"/>
  <c r="E14" i="11"/>
  <c r="E15" i="11" s="1"/>
  <c r="D14" i="11"/>
  <c r="D15" i="11" s="1"/>
  <c r="F5" i="9"/>
  <c r="D5" i="9"/>
  <c r="C5" i="9"/>
  <c r="F4" i="9"/>
  <c r="D4" i="9"/>
  <c r="C4" i="9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H2" i="8"/>
  <c r="G2" i="8"/>
  <c r="F2" i="8"/>
  <c r="E2" i="8"/>
  <c r="D2" i="8"/>
  <c r="AJ24" i="7"/>
  <c r="AL10" i="11" s="1"/>
  <c r="AI24" i="7"/>
  <c r="AK10" i="11" s="1"/>
  <c r="AH24" i="7"/>
  <c r="AJ10" i="11" s="1"/>
  <c r="AG24" i="7"/>
  <c r="AI10" i="11" s="1"/>
  <c r="AF24" i="7"/>
  <c r="AH10" i="11" s="1"/>
  <c r="AE24" i="7"/>
  <c r="AG10" i="11" s="1"/>
  <c r="AD24" i="7"/>
  <c r="AF10" i="11" s="1"/>
  <c r="AC24" i="7"/>
  <c r="AE10" i="11" s="1"/>
  <c r="AB24" i="7"/>
  <c r="AD10" i="11" s="1"/>
  <c r="AA24" i="7"/>
  <c r="AC10" i="11" s="1"/>
  <c r="Z24" i="7"/>
  <c r="AB10" i="11" s="1"/>
  <c r="X24" i="7"/>
  <c r="Z10" i="11" s="1"/>
  <c r="W24" i="7"/>
  <c r="Y10" i="11" s="1"/>
  <c r="V24" i="7"/>
  <c r="X10" i="11" s="1"/>
  <c r="U24" i="7"/>
  <c r="W10" i="11" s="1"/>
  <c r="T24" i="7"/>
  <c r="V10" i="11" s="1"/>
  <c r="S24" i="7"/>
  <c r="U10" i="11" s="1"/>
  <c r="R24" i="7"/>
  <c r="T10" i="11" s="1"/>
  <c r="Q24" i="7"/>
  <c r="S10" i="11" s="1"/>
  <c r="P24" i="7"/>
  <c r="R10" i="11" s="1"/>
  <c r="O24" i="7"/>
  <c r="Q10" i="11" s="1"/>
  <c r="N24" i="7"/>
  <c r="P10" i="11" s="1"/>
  <c r="L24" i="7"/>
  <c r="N10" i="11" s="1"/>
  <c r="K24" i="7"/>
  <c r="M10" i="11" s="1"/>
  <c r="J24" i="7"/>
  <c r="L10" i="11" s="1"/>
  <c r="I24" i="7"/>
  <c r="K10" i="11" s="1"/>
  <c r="H24" i="7"/>
  <c r="J10" i="11" s="1"/>
  <c r="G24" i="7"/>
  <c r="I10" i="11" s="1"/>
  <c r="F24" i="7"/>
  <c r="H10" i="11" s="1"/>
  <c r="E24" i="7"/>
  <c r="G10" i="11" s="1"/>
  <c r="D24" i="7"/>
  <c r="F10" i="11" s="1"/>
  <c r="C24" i="7"/>
  <c r="E10" i="11" s="1"/>
  <c r="B24" i="7"/>
  <c r="D10" i="11" s="1"/>
  <c r="AK3" i="7"/>
  <c r="AK3" i="6" s="1"/>
  <c r="AJ3" i="7"/>
  <c r="AJ3" i="6" s="1"/>
  <c r="AI3" i="7"/>
  <c r="AI3" i="6" s="1"/>
  <c r="AH3" i="7"/>
  <c r="AG3" i="7"/>
  <c r="AG3" i="6" s="1"/>
  <c r="AF3" i="7"/>
  <c r="AF3" i="6" s="1"/>
  <c r="AE3" i="7"/>
  <c r="AE3" i="6" s="1"/>
  <c r="AD3" i="7"/>
  <c r="AC3" i="7"/>
  <c r="AC3" i="6" s="1"/>
  <c r="AB3" i="7"/>
  <c r="AB3" i="6" s="1"/>
  <c r="AA3" i="7"/>
  <c r="AA3" i="6" s="1"/>
  <c r="Z3" i="7"/>
  <c r="Y3" i="7"/>
  <c r="Y3" i="6" s="1"/>
  <c r="X3" i="7"/>
  <c r="X3" i="6" s="1"/>
  <c r="W3" i="7"/>
  <c r="W3" i="6" s="1"/>
  <c r="V3" i="7"/>
  <c r="U3" i="7"/>
  <c r="U3" i="6" s="1"/>
  <c r="T3" i="7"/>
  <c r="T3" i="6" s="1"/>
  <c r="S3" i="7"/>
  <c r="S3" i="6" s="1"/>
  <c r="R3" i="7"/>
  <c r="Q3" i="7"/>
  <c r="Q3" i="6" s="1"/>
  <c r="P3" i="7"/>
  <c r="P3" i="6" s="1"/>
  <c r="O3" i="7"/>
  <c r="O3" i="6" s="1"/>
  <c r="N3" i="7"/>
  <c r="M3" i="7"/>
  <c r="M3" i="6" s="1"/>
  <c r="L3" i="7"/>
  <c r="L3" i="6" s="1"/>
  <c r="K3" i="7"/>
  <c r="K3" i="6" s="1"/>
  <c r="J3" i="7"/>
  <c r="I3" i="7"/>
  <c r="I3" i="6" s="1"/>
  <c r="H3" i="7"/>
  <c r="H3" i="6" s="1"/>
  <c r="G3" i="7"/>
  <c r="G3" i="6" s="1"/>
  <c r="F3" i="7"/>
  <c r="E3" i="7"/>
  <c r="E3" i="6" s="1"/>
  <c r="D3" i="7"/>
  <c r="D3" i="6" s="1"/>
  <c r="C3" i="7"/>
  <c r="C3" i="6" s="1"/>
  <c r="B3" i="7"/>
  <c r="AH3" i="6"/>
  <c r="AD3" i="6"/>
  <c r="Z3" i="6"/>
  <c r="V3" i="6"/>
  <c r="R3" i="6"/>
  <c r="N3" i="6"/>
  <c r="J3" i="6"/>
  <c r="F3" i="6"/>
  <c r="B3" i="6"/>
  <c r="B70" i="5"/>
  <c r="B24" i="12" s="1"/>
  <c r="B48" i="5"/>
  <c r="B35" i="5"/>
  <c r="B28" i="5"/>
  <c r="B12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B7" i="5"/>
  <c r="B13" i="12" s="1"/>
  <c r="AK2" i="5"/>
  <c r="AJ2" i="5"/>
  <c r="AI2" i="5"/>
  <c r="AI6" i="5" s="1"/>
  <c r="AH2" i="5"/>
  <c r="AG2" i="5"/>
  <c r="AF2" i="5"/>
  <c r="AE2" i="5"/>
  <c r="AD2" i="5"/>
  <c r="AC2" i="5"/>
  <c r="AB2" i="5"/>
  <c r="AA2" i="5"/>
  <c r="Z2" i="5"/>
  <c r="Z2" i="12" s="1"/>
  <c r="Y2" i="5"/>
  <c r="X2" i="5"/>
  <c r="W2" i="5"/>
  <c r="V2" i="5"/>
  <c r="U2" i="5"/>
  <c r="U2" i="12" s="1"/>
  <c r="T2" i="5"/>
  <c r="S2" i="5"/>
  <c r="R2" i="5"/>
  <c r="Q2" i="5"/>
  <c r="P2" i="5"/>
  <c r="O2" i="5"/>
  <c r="N2" i="5"/>
  <c r="M2" i="5"/>
  <c r="L2" i="5"/>
  <c r="K2" i="5"/>
  <c r="J2" i="5"/>
  <c r="J2" i="12" s="1"/>
  <c r="I2" i="5"/>
  <c r="H2" i="5"/>
  <c r="G2" i="5"/>
  <c r="F2" i="5"/>
  <c r="E2" i="5"/>
  <c r="D2" i="5"/>
  <c r="C2" i="5"/>
  <c r="B2" i="5"/>
  <c r="E8" i="4"/>
  <c r="D119" i="3" s="1"/>
  <c r="E7" i="4"/>
  <c r="D89" i="3" s="1"/>
  <c r="E6" i="4"/>
  <c r="E5" i="4"/>
  <c r="D87" i="3" s="1"/>
  <c r="E4" i="4"/>
  <c r="D86" i="3" s="1"/>
  <c r="B34" i="5" s="1"/>
  <c r="B36" i="5" s="1"/>
  <c r="D154" i="3"/>
  <c r="D153" i="3"/>
  <c r="D152" i="3"/>
  <c r="D151" i="3"/>
  <c r="D150" i="3"/>
  <c r="D146" i="3"/>
  <c r="B42" i="10" s="1"/>
  <c r="D145" i="3"/>
  <c r="D144" i="3"/>
  <c r="B25" i="10" s="1"/>
  <c r="D143" i="3"/>
  <c r="B24" i="10" s="1"/>
  <c r="D142" i="3"/>
  <c r="D127" i="3" s="1"/>
  <c r="D141" i="3"/>
  <c r="B9" i="10" s="1"/>
  <c r="D140" i="3"/>
  <c r="B7" i="10" s="1"/>
  <c r="D139" i="3"/>
  <c r="B14" i="10" s="1"/>
  <c r="D134" i="3"/>
  <c r="E5" i="9" s="1"/>
  <c r="D133" i="3"/>
  <c r="E4" i="9" s="1"/>
  <c r="D129" i="3"/>
  <c r="D128" i="3"/>
  <c r="D126" i="3"/>
  <c r="D125" i="3"/>
  <c r="D118" i="3"/>
  <c r="D117" i="3"/>
  <c r="D115" i="3"/>
  <c r="D113" i="3"/>
  <c r="D108" i="3"/>
  <c r="D107" i="3"/>
  <c r="D105" i="3"/>
  <c r="D104" i="3"/>
  <c r="D100" i="3"/>
  <c r="D99" i="3"/>
  <c r="D95" i="3"/>
  <c r="D94" i="3"/>
  <c r="D93" i="3"/>
  <c r="D90" i="3"/>
  <c r="D88" i="3"/>
  <c r="D85" i="3"/>
  <c r="D84" i="3"/>
  <c r="D81" i="3"/>
  <c r="B11" i="5" s="1"/>
  <c r="D76" i="3"/>
  <c r="D75" i="3"/>
  <c r="D74" i="3"/>
  <c r="D73" i="3"/>
  <c r="D72" i="3"/>
  <c r="D71" i="3"/>
  <c r="D70" i="3"/>
  <c r="D69" i="3"/>
  <c r="D68" i="3"/>
  <c r="D67" i="3"/>
  <c r="D66" i="3"/>
  <c r="D65" i="3"/>
  <c r="AK6" i="5" s="1"/>
  <c r="D64" i="3"/>
  <c r="X6" i="5" s="1"/>
  <c r="Y7" i="5" s="1"/>
  <c r="Y13" i="12" s="1"/>
  <c r="D63" i="3"/>
  <c r="E6" i="5" s="1"/>
  <c r="H54" i="3"/>
  <c r="G53" i="3"/>
  <c r="F52" i="3"/>
  <c r="D47" i="3"/>
  <c r="D46" i="3"/>
  <c r="D45" i="3"/>
  <c r="D41" i="3"/>
  <c r="D39" i="3"/>
  <c r="B51" i="5" s="1"/>
  <c r="D33" i="3"/>
  <c r="D32" i="3"/>
  <c r="D31" i="3"/>
  <c r="D34" i="3" s="1"/>
  <c r="D25" i="3"/>
  <c r="D24" i="3"/>
  <c r="B29" i="5" s="1"/>
  <c r="D23" i="3"/>
  <c r="D19" i="3"/>
  <c r="D18" i="3"/>
  <c r="AE16" i="5" s="1"/>
  <c r="D12" i="3"/>
  <c r="D11" i="3"/>
  <c r="D10" i="3"/>
  <c r="D9" i="3"/>
  <c r="D14" i="3" s="1"/>
  <c r="B53" i="2" s="1"/>
  <c r="D7" i="3"/>
  <c r="B18" i="5" s="1"/>
  <c r="B3" i="3"/>
  <c r="B37" i="2"/>
  <c r="B2" i="2"/>
  <c r="Y6" i="5" l="1"/>
  <c r="Y12" i="12" s="1"/>
  <c r="D135" i="3"/>
  <c r="B4" i="10" s="1"/>
  <c r="AC6" i="5"/>
  <c r="K16" i="5"/>
  <c r="G51" i="3"/>
  <c r="H52" i="3"/>
  <c r="F54" i="3"/>
  <c r="D59" i="3"/>
  <c r="D82" i="3"/>
  <c r="C11" i="5" s="1"/>
  <c r="D92" i="3"/>
  <c r="D106" i="3"/>
  <c r="D114" i="3"/>
  <c r="U6" i="5"/>
  <c r="AA16" i="5"/>
  <c r="S6" i="5"/>
  <c r="T7" i="5" s="1"/>
  <c r="T13" i="12" s="1"/>
  <c r="F51" i="3"/>
  <c r="G52" i="3"/>
  <c r="H53" i="3"/>
  <c r="D58" i="3"/>
  <c r="T6" i="5"/>
  <c r="H51" i="3"/>
  <c r="F53" i="3"/>
  <c r="G54" i="3"/>
  <c r="D83" i="3"/>
  <c r="B20" i="12"/>
  <c r="C35" i="5"/>
  <c r="B37" i="5"/>
  <c r="AK12" i="12"/>
  <c r="AK15" i="6"/>
  <c r="E12" i="12"/>
  <c r="E15" i="6"/>
  <c r="AI30" i="5"/>
  <c r="AE30" i="5"/>
  <c r="AA30" i="5"/>
  <c r="W30" i="5"/>
  <c r="S30" i="5"/>
  <c r="O30" i="5"/>
  <c r="K30" i="5"/>
  <c r="G30" i="5"/>
  <c r="C30" i="5"/>
  <c r="AJ30" i="5"/>
  <c r="AD30" i="5"/>
  <c r="Y30" i="5"/>
  <c r="T30" i="5"/>
  <c r="N30" i="5"/>
  <c r="I30" i="5"/>
  <c r="D30" i="5"/>
  <c r="AH30" i="5"/>
  <c r="AC30" i="5"/>
  <c r="X30" i="5"/>
  <c r="R30" i="5"/>
  <c r="M30" i="5"/>
  <c r="H30" i="5"/>
  <c r="B30" i="5"/>
  <c r="B31" i="5" s="1"/>
  <c r="AG30" i="5"/>
  <c r="AB30" i="5"/>
  <c r="V30" i="5"/>
  <c r="Q30" i="5"/>
  <c r="L30" i="5"/>
  <c r="F30" i="5"/>
  <c r="C6" i="5"/>
  <c r="M6" i="5"/>
  <c r="AI12" i="12"/>
  <c r="AI15" i="6"/>
  <c r="H70" i="5"/>
  <c r="C28" i="5"/>
  <c r="B27" i="5"/>
  <c r="C14" i="11"/>
  <c r="C15" i="11" s="1"/>
  <c r="AK6" i="8"/>
  <c r="AG6" i="8"/>
  <c r="AC6" i="8"/>
  <c r="Y6" i="8"/>
  <c r="U6" i="8"/>
  <c r="Q6" i="8"/>
  <c r="M6" i="8"/>
  <c r="I6" i="8"/>
  <c r="E6" i="8"/>
  <c r="AM6" i="8"/>
  <c r="AH6" i="8"/>
  <c r="AB6" i="8"/>
  <c r="W6" i="8"/>
  <c r="R6" i="8"/>
  <c r="L6" i="8"/>
  <c r="G6" i="8"/>
  <c r="AL6" i="8"/>
  <c r="AF6" i="8"/>
  <c r="AA6" i="8"/>
  <c r="V6" i="8"/>
  <c r="P6" i="8"/>
  <c r="K6" i="8"/>
  <c r="F6" i="8"/>
  <c r="AJ6" i="8"/>
  <c r="AE6" i="8"/>
  <c r="Z6" i="8"/>
  <c r="T6" i="8"/>
  <c r="O6" i="8"/>
  <c r="J6" i="8"/>
  <c r="D6" i="8"/>
  <c r="X6" i="8"/>
  <c r="C6" i="8"/>
  <c r="C8" i="8" s="1"/>
  <c r="S6" i="8"/>
  <c r="AI6" i="8"/>
  <c r="N6" i="8"/>
  <c r="AD6" i="8"/>
  <c r="H6" i="8"/>
  <c r="D40" i="3"/>
  <c r="D8" i="3"/>
  <c r="C2" i="12"/>
  <c r="C2" i="7"/>
  <c r="G2" i="12"/>
  <c r="G2" i="7"/>
  <c r="K2" i="12"/>
  <c r="K2" i="7"/>
  <c r="O2" i="12"/>
  <c r="O2" i="7"/>
  <c r="S2" i="12"/>
  <c r="S2" i="7"/>
  <c r="W2" i="12"/>
  <c r="W2" i="7"/>
  <c r="AA2" i="12"/>
  <c r="AA2" i="7"/>
  <c r="AA14" i="7" s="1"/>
  <c r="AE2" i="12"/>
  <c r="AE2" i="7"/>
  <c r="AI2" i="12"/>
  <c r="AI2" i="7"/>
  <c r="AI14" i="7" s="1"/>
  <c r="D6" i="5"/>
  <c r="I6" i="5"/>
  <c r="O6" i="5"/>
  <c r="T12" i="12"/>
  <c r="T15" i="6"/>
  <c r="Y15" i="6"/>
  <c r="AE6" i="5"/>
  <c r="AJ6" i="5"/>
  <c r="AJ7" i="5"/>
  <c r="AJ13" i="12" s="1"/>
  <c r="O16" i="5"/>
  <c r="J30" i="5"/>
  <c r="AF30" i="5"/>
  <c r="F47" i="5"/>
  <c r="AB47" i="5"/>
  <c r="D13" i="3"/>
  <c r="K70" i="5"/>
  <c r="G70" i="5"/>
  <c r="C70" i="5"/>
  <c r="C12" i="7" s="1"/>
  <c r="J70" i="5"/>
  <c r="F70" i="5"/>
  <c r="M70" i="5"/>
  <c r="I70" i="5"/>
  <c r="E70" i="5"/>
  <c r="D70" i="5"/>
  <c r="L70" i="5"/>
  <c r="S12" i="12"/>
  <c r="S15" i="6"/>
  <c r="E30" i="5"/>
  <c r="P15" i="7"/>
  <c r="AA15" i="7"/>
  <c r="K15" i="7"/>
  <c r="O15" i="7"/>
  <c r="AI15" i="7"/>
  <c r="S15" i="7"/>
  <c r="AH16" i="5"/>
  <c r="AD16" i="5"/>
  <c r="Z16" i="5"/>
  <c r="V16" i="5"/>
  <c r="R16" i="5"/>
  <c r="N16" i="5"/>
  <c r="J16" i="5"/>
  <c r="F16" i="5"/>
  <c r="B16" i="5"/>
  <c r="AK16" i="5"/>
  <c r="AG16" i="5"/>
  <c r="AC16" i="5"/>
  <c r="Y16" i="5"/>
  <c r="U16" i="5"/>
  <c r="Q16" i="5"/>
  <c r="M16" i="5"/>
  <c r="I16" i="5"/>
  <c r="E16" i="5"/>
  <c r="AJ16" i="5"/>
  <c r="AF16" i="5"/>
  <c r="AB16" i="5"/>
  <c r="X16" i="5"/>
  <c r="T16" i="5"/>
  <c r="P16" i="5"/>
  <c r="L16" i="5"/>
  <c r="H16" i="5"/>
  <c r="D16" i="5"/>
  <c r="D77" i="3"/>
  <c r="C18" i="11"/>
  <c r="AJ14" i="8"/>
  <c r="AF14" i="8"/>
  <c r="AB14" i="8"/>
  <c r="X14" i="8"/>
  <c r="T14" i="8"/>
  <c r="P14" i="8"/>
  <c r="L14" i="8"/>
  <c r="H14" i="8"/>
  <c r="D14" i="8"/>
  <c r="AM14" i="8"/>
  <c r="AI14" i="8"/>
  <c r="AE14" i="8"/>
  <c r="AA14" i="8"/>
  <c r="W14" i="8"/>
  <c r="S14" i="8"/>
  <c r="O14" i="8"/>
  <c r="K14" i="8"/>
  <c r="G14" i="8"/>
  <c r="C14" i="8"/>
  <c r="AL14" i="8"/>
  <c r="AH14" i="8"/>
  <c r="AD14" i="8"/>
  <c r="Z14" i="8"/>
  <c r="V14" i="8"/>
  <c r="R14" i="8"/>
  <c r="N14" i="8"/>
  <c r="J14" i="8"/>
  <c r="F14" i="8"/>
  <c r="AC14" i="8"/>
  <c r="M14" i="8"/>
  <c r="Y14" i="8"/>
  <c r="I14" i="8"/>
  <c r="AK14" i="8"/>
  <c r="U14" i="8"/>
  <c r="E14" i="8"/>
  <c r="AG14" i="8"/>
  <c r="Q14" i="8"/>
  <c r="D2" i="12"/>
  <c r="D2" i="7"/>
  <c r="P2" i="12"/>
  <c r="P2" i="7"/>
  <c r="P14" i="7" s="1"/>
  <c r="AJ2" i="12"/>
  <c r="AJ2" i="7"/>
  <c r="P6" i="5"/>
  <c r="C16" i="5"/>
  <c r="S16" i="5"/>
  <c r="AI16" i="5"/>
  <c r="P30" i="5"/>
  <c r="AK30" i="5"/>
  <c r="L47" i="5"/>
  <c r="U2" i="7"/>
  <c r="D35" i="3"/>
  <c r="D12" i="7"/>
  <c r="G12" i="7"/>
  <c r="K12" i="7"/>
  <c r="H6" i="5"/>
  <c r="X12" i="12"/>
  <c r="X15" i="6"/>
  <c r="AC12" i="12"/>
  <c r="AC15" i="6"/>
  <c r="Z30" i="5"/>
  <c r="AI47" i="5"/>
  <c r="AE47" i="5"/>
  <c r="AA47" i="5"/>
  <c r="W47" i="5"/>
  <c r="S47" i="5"/>
  <c r="O47" i="5"/>
  <c r="K47" i="5"/>
  <c r="G47" i="5"/>
  <c r="C47" i="5"/>
  <c r="AK47" i="5"/>
  <c r="AF47" i="5"/>
  <c r="Z47" i="5"/>
  <c r="U47" i="5"/>
  <c r="P47" i="5"/>
  <c r="J47" i="5"/>
  <c r="E47" i="5"/>
  <c r="AJ47" i="5"/>
  <c r="AD47" i="5"/>
  <c r="Y47" i="5"/>
  <c r="T47" i="5"/>
  <c r="N47" i="5"/>
  <c r="I47" i="5"/>
  <c r="D47" i="5"/>
  <c r="AH47" i="5"/>
  <c r="AC47" i="5"/>
  <c r="X47" i="5"/>
  <c r="R47" i="5"/>
  <c r="M47" i="5"/>
  <c r="H47" i="5"/>
  <c r="AK35" i="12"/>
  <c r="AG35" i="12"/>
  <c r="AC35" i="12"/>
  <c r="Y35" i="12"/>
  <c r="U35" i="12"/>
  <c r="Q35" i="12"/>
  <c r="M35" i="12"/>
  <c r="I35" i="12"/>
  <c r="E35" i="12"/>
  <c r="AJ35" i="12"/>
  <c r="AF35" i="12"/>
  <c r="AB35" i="12"/>
  <c r="X35" i="12"/>
  <c r="T35" i="12"/>
  <c r="P35" i="12"/>
  <c r="L35" i="12"/>
  <c r="H35" i="12"/>
  <c r="D35" i="12"/>
  <c r="AI35" i="12"/>
  <c r="AE35" i="12"/>
  <c r="AA35" i="12"/>
  <c r="W35" i="12"/>
  <c r="S35" i="12"/>
  <c r="O35" i="12"/>
  <c r="K35" i="12"/>
  <c r="G35" i="12"/>
  <c r="C35" i="12"/>
  <c r="AH35" i="12"/>
  <c r="AD35" i="12"/>
  <c r="Z35" i="12"/>
  <c r="V35" i="12"/>
  <c r="R35" i="12"/>
  <c r="N35" i="12"/>
  <c r="J35" i="12"/>
  <c r="F35" i="12"/>
  <c r="B35" i="12"/>
  <c r="D116" i="3"/>
  <c r="H2" i="12"/>
  <c r="H2" i="7"/>
  <c r="H15" i="7" s="1"/>
  <c r="L2" i="12"/>
  <c r="L2" i="7"/>
  <c r="T2" i="12"/>
  <c r="T2" i="7"/>
  <c r="T14" i="7" s="1"/>
  <c r="X2" i="7"/>
  <c r="X15" i="7" s="1"/>
  <c r="X2" i="12"/>
  <c r="AB2" i="12"/>
  <c r="AB2" i="7"/>
  <c r="AB15" i="7" s="1"/>
  <c r="AF2" i="12"/>
  <c r="AF2" i="7"/>
  <c r="K6" i="5"/>
  <c r="L7" i="5" s="1"/>
  <c r="L13" i="12" s="1"/>
  <c r="U12" i="12"/>
  <c r="U15" i="6"/>
  <c r="AA6" i="5"/>
  <c r="AF6" i="5"/>
  <c r="AG7" i="5" s="1"/>
  <c r="AG13" i="12" s="1"/>
  <c r="U7" i="5"/>
  <c r="U13" i="12" s="1"/>
  <c r="D30" i="3"/>
  <c r="AD7" i="5"/>
  <c r="AD13" i="12" s="1"/>
  <c r="V7" i="5"/>
  <c r="V13" i="12" s="1"/>
  <c r="N7" i="5"/>
  <c r="N13" i="12" s="1"/>
  <c r="J7" i="5"/>
  <c r="J13" i="12" s="1"/>
  <c r="F7" i="5"/>
  <c r="F13" i="12" s="1"/>
  <c r="B27" i="12"/>
  <c r="B13" i="5"/>
  <c r="AJ13" i="7"/>
  <c r="T13" i="7"/>
  <c r="P13" i="7"/>
  <c r="L13" i="7"/>
  <c r="D13" i="7"/>
  <c r="AI13" i="7"/>
  <c r="S13" i="7"/>
  <c r="C13" i="7"/>
  <c r="W13" i="7"/>
  <c r="G13" i="7"/>
  <c r="AA13" i="7"/>
  <c r="K13" i="7"/>
  <c r="U13" i="7"/>
  <c r="O13" i="7"/>
  <c r="G4" i="9"/>
  <c r="E6" i="9"/>
  <c r="D91" i="3"/>
  <c r="B47" i="5" s="1"/>
  <c r="B49" i="5" s="1"/>
  <c r="D29" i="3"/>
  <c r="B38" i="5" s="1"/>
  <c r="D120" i="3"/>
  <c r="D112" i="3"/>
  <c r="E2" i="12"/>
  <c r="E2" i="7"/>
  <c r="E13" i="7" s="1"/>
  <c r="I2" i="12"/>
  <c r="I2" i="7"/>
  <c r="M2" i="12"/>
  <c r="M2" i="7"/>
  <c r="M15" i="7" s="1"/>
  <c r="Q2" i="12"/>
  <c r="Q2" i="7"/>
  <c r="Q13" i="7" s="1"/>
  <c r="Y2" i="12"/>
  <c r="Y2" i="7"/>
  <c r="AC2" i="12"/>
  <c r="AC2" i="7"/>
  <c r="AC14" i="7" s="1"/>
  <c r="AG2" i="12"/>
  <c r="AG2" i="7"/>
  <c r="AK2" i="12"/>
  <c r="AK2" i="7"/>
  <c r="AK13" i="7" s="1"/>
  <c r="G6" i="5"/>
  <c r="L6" i="5"/>
  <c r="Q6" i="5"/>
  <c r="R7" i="5" s="1"/>
  <c r="R13" i="12" s="1"/>
  <c r="W6" i="5"/>
  <c r="AB6" i="5"/>
  <c r="AG6" i="5"/>
  <c r="AH7" i="5" s="1"/>
  <c r="AH13" i="12" s="1"/>
  <c r="Q7" i="5"/>
  <c r="Q13" i="12" s="1"/>
  <c r="W7" i="5"/>
  <c r="W13" i="12" s="1"/>
  <c r="AB7" i="5"/>
  <c r="AB13" i="12" s="1"/>
  <c r="G16" i="5"/>
  <c r="W16" i="5"/>
  <c r="U30" i="5"/>
  <c r="Q47" i="5"/>
  <c r="J13" i="7"/>
  <c r="W15" i="7"/>
  <c r="Z2" i="7"/>
  <c r="J2" i="7"/>
  <c r="G5" i="9"/>
  <c r="B2" i="12"/>
  <c r="B2" i="7"/>
  <c r="B14" i="7" s="1"/>
  <c r="F2" i="12"/>
  <c r="F2" i="7"/>
  <c r="F14" i="7" s="1"/>
  <c r="N2" i="12"/>
  <c r="N2" i="7"/>
  <c r="N14" i="7" s="1"/>
  <c r="R2" i="12"/>
  <c r="R2" i="7"/>
  <c r="V2" i="12"/>
  <c r="V2" i="7"/>
  <c r="V13" i="7" s="1"/>
  <c r="AD2" i="12"/>
  <c r="AD2" i="7"/>
  <c r="AD14" i="7" s="1"/>
  <c r="AH2" i="12"/>
  <c r="AH2" i="7"/>
  <c r="AH14" i="7" s="1"/>
  <c r="B6" i="5"/>
  <c r="F6" i="5"/>
  <c r="J6" i="5"/>
  <c r="N6" i="5"/>
  <c r="R6" i="5"/>
  <c r="V6" i="5"/>
  <c r="Z6" i="5"/>
  <c r="AD6" i="5"/>
  <c r="AH6" i="5"/>
  <c r="C34" i="5"/>
  <c r="C27" i="12" l="1"/>
  <c r="Z7" i="5"/>
  <c r="Z13" i="12" s="1"/>
  <c r="I12" i="7"/>
  <c r="AB13" i="7"/>
  <c r="T29" i="12"/>
  <c r="B13" i="7"/>
  <c r="AG47" i="5"/>
  <c r="V47" i="5"/>
  <c r="T30" i="12"/>
  <c r="T31" i="12"/>
  <c r="AA2" i="11"/>
  <c r="Y2" i="6"/>
  <c r="H4" i="9"/>
  <c r="K4" i="9"/>
  <c r="G6" i="9"/>
  <c r="J4" i="9"/>
  <c r="I4" i="9"/>
  <c r="I13" i="7"/>
  <c r="AD13" i="7"/>
  <c r="AH2" i="11"/>
  <c r="AF2" i="6"/>
  <c r="N2" i="11"/>
  <c r="L2" i="6"/>
  <c r="AC29" i="12"/>
  <c r="H29" i="12"/>
  <c r="H12" i="12"/>
  <c r="H15" i="6"/>
  <c r="I7" i="5"/>
  <c r="I13" i="12" s="1"/>
  <c r="L12" i="7"/>
  <c r="B15" i="7"/>
  <c r="P29" i="12"/>
  <c r="P12" i="12"/>
  <c r="P15" i="6"/>
  <c r="I15" i="7"/>
  <c r="AD15" i="7"/>
  <c r="AK15" i="7"/>
  <c r="V15" i="7"/>
  <c r="E24" i="12"/>
  <c r="F34" i="5"/>
  <c r="F11" i="5"/>
  <c r="AE29" i="12"/>
  <c r="AE12" i="12"/>
  <c r="AE15" i="6"/>
  <c r="AF7" i="5"/>
  <c r="AF13" i="12" s="1"/>
  <c r="I29" i="12"/>
  <c r="I12" i="12"/>
  <c r="I15" i="6"/>
  <c r="AG2" i="11"/>
  <c r="AE2" i="6"/>
  <c r="AE13" i="7"/>
  <c r="Y2" i="11"/>
  <c r="W2" i="6"/>
  <c r="Q2" i="11"/>
  <c r="O2" i="6"/>
  <c r="I2" i="11"/>
  <c r="G2" i="6"/>
  <c r="AI22" i="5"/>
  <c r="AE22" i="5"/>
  <c r="AA22" i="5"/>
  <c r="W22" i="5"/>
  <c r="S22" i="5"/>
  <c r="O22" i="5"/>
  <c r="K22" i="5"/>
  <c r="G22" i="5"/>
  <c r="C22" i="5"/>
  <c r="AG22" i="5"/>
  <c r="AB22" i="5"/>
  <c r="V22" i="5"/>
  <c r="Q22" i="5"/>
  <c r="L22" i="5"/>
  <c r="F22" i="5"/>
  <c r="AK22" i="5"/>
  <c r="AF22" i="5"/>
  <c r="Z22" i="5"/>
  <c r="U22" i="5"/>
  <c r="P22" i="5"/>
  <c r="J22" i="5"/>
  <c r="E22" i="5"/>
  <c r="AJ22" i="5"/>
  <c r="AD22" i="5"/>
  <c r="Y22" i="5"/>
  <c r="T22" i="5"/>
  <c r="N22" i="5"/>
  <c r="I22" i="5"/>
  <c r="D22" i="5"/>
  <c r="X22" i="5"/>
  <c r="B22" i="5"/>
  <c r="AC22" i="5"/>
  <c r="R22" i="5"/>
  <c r="AH22" i="5"/>
  <c r="M22" i="5"/>
  <c r="H22" i="5"/>
  <c r="B48" i="10"/>
  <c r="AI29" i="12"/>
  <c r="W14" i="7"/>
  <c r="I14" i="7"/>
  <c r="O14" i="7"/>
  <c r="AK14" i="7"/>
  <c r="AF14" i="7"/>
  <c r="C36" i="5"/>
  <c r="L29" i="12"/>
  <c r="L12" i="12"/>
  <c r="L15" i="6"/>
  <c r="M7" i="5"/>
  <c r="M13" i="12" s="1"/>
  <c r="O2" i="11"/>
  <c r="M2" i="6"/>
  <c r="V29" i="12"/>
  <c r="V12" i="12"/>
  <c r="V15" i="6"/>
  <c r="F29" i="12"/>
  <c r="F12" i="12"/>
  <c r="F15" i="6"/>
  <c r="AF2" i="11"/>
  <c r="AD2" i="6"/>
  <c r="T2" i="11"/>
  <c r="R2" i="6"/>
  <c r="H2" i="11"/>
  <c r="F2" i="6"/>
  <c r="AB2" i="11"/>
  <c r="Z2" i="6"/>
  <c r="AB29" i="12"/>
  <c r="AB12" i="12"/>
  <c r="AB15" i="6"/>
  <c r="AC7" i="5"/>
  <c r="AC13" i="12" s="1"/>
  <c r="G29" i="12"/>
  <c r="G12" i="12"/>
  <c r="G15" i="6"/>
  <c r="H7" i="5"/>
  <c r="H13" i="12" s="1"/>
  <c r="B22" i="12"/>
  <c r="C49" i="5"/>
  <c r="C48" i="5"/>
  <c r="B54" i="5"/>
  <c r="B23" i="12" s="1"/>
  <c r="B50" i="5"/>
  <c r="B52" i="5" s="1"/>
  <c r="Z13" i="7"/>
  <c r="AC13" i="7"/>
  <c r="N13" i="7"/>
  <c r="AF13" i="7"/>
  <c r="Z2" i="11"/>
  <c r="X2" i="6"/>
  <c r="F12" i="7"/>
  <c r="M12" i="7"/>
  <c r="W2" i="11"/>
  <c r="U2" i="6"/>
  <c r="AL2" i="11"/>
  <c r="AJ2" i="6"/>
  <c r="F2" i="11"/>
  <c r="D2" i="6"/>
  <c r="AH15" i="7"/>
  <c r="N15" i="7"/>
  <c r="U15" i="7"/>
  <c r="F15" i="7"/>
  <c r="L15" i="7"/>
  <c r="L24" i="12"/>
  <c r="M34" i="5"/>
  <c r="M11" i="5"/>
  <c r="D24" i="12"/>
  <c r="E34" i="5"/>
  <c r="E11" i="5"/>
  <c r="I24" i="12"/>
  <c r="J11" i="5"/>
  <c r="J34" i="5"/>
  <c r="F24" i="12"/>
  <c r="G34" i="5"/>
  <c r="G11" i="5"/>
  <c r="C24" i="12"/>
  <c r="D34" i="5"/>
  <c r="D11" i="5"/>
  <c r="D29" i="12"/>
  <c r="D12" i="12"/>
  <c r="D15" i="6"/>
  <c r="E7" i="5"/>
  <c r="E13" i="12" s="1"/>
  <c r="AI55" i="5"/>
  <c r="AE55" i="5"/>
  <c r="AA55" i="5"/>
  <c r="W55" i="5"/>
  <c r="S55" i="5"/>
  <c r="O55" i="5"/>
  <c r="K55" i="5"/>
  <c r="G55" i="5"/>
  <c r="C55" i="5"/>
  <c r="AK55" i="5"/>
  <c r="AF55" i="5"/>
  <c r="Z55" i="5"/>
  <c r="U55" i="5"/>
  <c r="P55" i="5"/>
  <c r="J55" i="5"/>
  <c r="E55" i="5"/>
  <c r="AJ55" i="5"/>
  <c r="AD55" i="5"/>
  <c r="Y55" i="5"/>
  <c r="T55" i="5"/>
  <c r="N55" i="5"/>
  <c r="I55" i="5"/>
  <c r="D55" i="5"/>
  <c r="AH55" i="5"/>
  <c r="AC55" i="5"/>
  <c r="X55" i="5"/>
  <c r="R55" i="5"/>
  <c r="M55" i="5"/>
  <c r="H55" i="5"/>
  <c r="B55" i="5"/>
  <c r="AB55" i="5"/>
  <c r="F55" i="5"/>
  <c r="L55" i="5"/>
  <c r="V55" i="5"/>
  <c r="Q55" i="5"/>
  <c r="AG55" i="5"/>
  <c r="H24" i="12"/>
  <c r="I34" i="5"/>
  <c r="I11" i="5"/>
  <c r="M29" i="12"/>
  <c r="M12" i="12"/>
  <c r="M15" i="6"/>
  <c r="G14" i="7"/>
  <c r="U14" i="7"/>
  <c r="D14" i="7"/>
  <c r="AJ14" i="7"/>
  <c r="E29" i="12"/>
  <c r="Z29" i="12"/>
  <c r="Z12" i="12"/>
  <c r="Z15" i="6"/>
  <c r="AA7" i="5"/>
  <c r="AA13" i="12" s="1"/>
  <c r="AG29" i="12"/>
  <c r="AG12" i="12"/>
  <c r="AG15" i="6"/>
  <c r="AI2" i="11"/>
  <c r="AG2" i="6"/>
  <c r="G2" i="11"/>
  <c r="E2" i="6"/>
  <c r="AH29" i="12"/>
  <c r="AH12" i="12"/>
  <c r="AH15" i="6"/>
  <c r="AI7" i="5"/>
  <c r="AI13" i="12" s="1"/>
  <c r="B29" i="12"/>
  <c r="B12" i="12"/>
  <c r="B15" i="6"/>
  <c r="C7" i="5"/>
  <c r="I5" i="9"/>
  <c r="H5" i="9"/>
  <c r="K5" i="9"/>
  <c r="J5" i="9"/>
  <c r="AJ11" i="7"/>
  <c r="AF11" i="7"/>
  <c r="AB11" i="7"/>
  <c r="X11" i="7"/>
  <c r="T11" i="7"/>
  <c r="P11" i="7"/>
  <c r="L11" i="7"/>
  <c r="H11" i="7"/>
  <c r="D11" i="7"/>
  <c r="AG11" i="7"/>
  <c r="AA11" i="7"/>
  <c r="V11" i="7"/>
  <c r="Q11" i="7"/>
  <c r="K11" i="7"/>
  <c r="F11" i="7"/>
  <c r="AK11" i="7"/>
  <c r="AE11" i="7"/>
  <c r="Z11" i="7"/>
  <c r="U11" i="7"/>
  <c r="O11" i="7"/>
  <c r="J11" i="7"/>
  <c r="E11" i="7"/>
  <c r="AI11" i="7"/>
  <c r="AD11" i="7"/>
  <c r="Y11" i="7"/>
  <c r="S11" i="7"/>
  <c r="N11" i="7"/>
  <c r="I11" i="7"/>
  <c r="C11" i="7"/>
  <c r="AH11" i="7"/>
  <c r="M11" i="7"/>
  <c r="AC11" i="7"/>
  <c r="G11" i="7"/>
  <c r="W11" i="7"/>
  <c r="B11" i="7"/>
  <c r="D121" i="3"/>
  <c r="B5" i="10" s="1"/>
  <c r="R11" i="7"/>
  <c r="F13" i="7"/>
  <c r="M13" i="7"/>
  <c r="AH13" i="7"/>
  <c r="AI42" i="5"/>
  <c r="AE42" i="5"/>
  <c r="AA42" i="5"/>
  <c r="W42" i="5"/>
  <c r="S42" i="5"/>
  <c r="O42" i="5"/>
  <c r="K42" i="5"/>
  <c r="G42" i="5"/>
  <c r="C42" i="5"/>
  <c r="AG42" i="5"/>
  <c r="AB42" i="5"/>
  <c r="V42" i="5"/>
  <c r="Q42" i="5"/>
  <c r="L42" i="5"/>
  <c r="F42" i="5"/>
  <c r="AK42" i="5"/>
  <c r="AF42" i="5"/>
  <c r="Z42" i="5"/>
  <c r="U42" i="5"/>
  <c r="P42" i="5"/>
  <c r="J42" i="5"/>
  <c r="E42" i="5"/>
  <c r="AJ42" i="5"/>
  <c r="AD42" i="5"/>
  <c r="Y42" i="5"/>
  <c r="T42" i="5"/>
  <c r="N42" i="5"/>
  <c r="I42" i="5"/>
  <c r="D42" i="5"/>
  <c r="R42" i="5"/>
  <c r="B42" i="5"/>
  <c r="AH42" i="5"/>
  <c r="M42" i="5"/>
  <c r="AC42" i="5"/>
  <c r="H42" i="5"/>
  <c r="X42" i="5"/>
  <c r="AF29" i="12"/>
  <c r="AF12" i="12"/>
  <c r="AF15" i="6"/>
  <c r="U29" i="12"/>
  <c r="AD2" i="11"/>
  <c r="AB2" i="6"/>
  <c r="V2" i="11"/>
  <c r="T2" i="6"/>
  <c r="J2" i="11"/>
  <c r="H2" i="6"/>
  <c r="E12" i="7"/>
  <c r="G15" i="7"/>
  <c r="R15" i="7"/>
  <c r="E15" i="7"/>
  <c r="Z15" i="7"/>
  <c r="AG15" i="7"/>
  <c r="AF15" i="7"/>
  <c r="M24" i="12"/>
  <c r="N11" i="5"/>
  <c r="N34" i="5"/>
  <c r="J24" i="12"/>
  <c r="K34" i="5"/>
  <c r="K11" i="5"/>
  <c r="G24" i="12"/>
  <c r="H11" i="5"/>
  <c r="H34" i="5"/>
  <c r="AK2" i="11"/>
  <c r="AI2" i="6"/>
  <c r="AC2" i="11"/>
  <c r="AA2" i="6"/>
  <c r="U2" i="11"/>
  <c r="S2" i="6"/>
  <c r="M2" i="11"/>
  <c r="K2" i="6"/>
  <c r="E2" i="11"/>
  <c r="C2" i="6"/>
  <c r="C12" i="12"/>
  <c r="C29" i="12"/>
  <c r="C15" i="6"/>
  <c r="D7" i="5"/>
  <c r="D13" i="12" s="1"/>
  <c r="K14" i="7"/>
  <c r="M14" i="7"/>
  <c r="S14" i="7"/>
  <c r="E14" i="7"/>
  <c r="Z14" i="7"/>
  <c r="H14" i="7"/>
  <c r="X14" i="7"/>
  <c r="J29" i="12"/>
  <c r="J12" i="12"/>
  <c r="J15" i="6"/>
  <c r="K7" i="5"/>
  <c r="K13" i="12" s="1"/>
  <c r="C38" i="5"/>
  <c r="B39" i="5"/>
  <c r="B40" i="5" s="1"/>
  <c r="R29" i="12"/>
  <c r="R12" i="12"/>
  <c r="R15" i="6"/>
  <c r="S7" i="5"/>
  <c r="S13" i="12" s="1"/>
  <c r="W29" i="12"/>
  <c r="W12" i="12"/>
  <c r="W15" i="6"/>
  <c r="X7" i="5"/>
  <c r="X13" i="12" s="1"/>
  <c r="AK2" i="6"/>
  <c r="AM2" i="11"/>
  <c r="AE2" i="11"/>
  <c r="AC2" i="6"/>
  <c r="S2" i="11"/>
  <c r="Q2" i="6"/>
  <c r="K2" i="11"/>
  <c r="I2" i="6"/>
  <c r="AD29" i="12"/>
  <c r="AD12" i="12"/>
  <c r="AD15" i="6"/>
  <c r="AE7" i="5"/>
  <c r="AE13" i="12" s="1"/>
  <c r="N29" i="12"/>
  <c r="N12" i="12"/>
  <c r="N15" i="6"/>
  <c r="O7" i="5"/>
  <c r="O13" i="12" s="1"/>
  <c r="AJ2" i="11"/>
  <c r="AH2" i="6"/>
  <c r="X2" i="11"/>
  <c r="V2" i="6"/>
  <c r="P2" i="11"/>
  <c r="N2" i="6"/>
  <c r="D2" i="11"/>
  <c r="B2" i="6"/>
  <c r="L2" i="11"/>
  <c r="J2" i="6"/>
  <c r="G7" i="5"/>
  <c r="G13" i="12" s="1"/>
  <c r="Q29" i="12"/>
  <c r="Q12" i="12"/>
  <c r="Q15" i="6"/>
  <c r="AJ16" i="7"/>
  <c r="AF16" i="7"/>
  <c r="AB16" i="7"/>
  <c r="X16" i="7"/>
  <c r="T16" i="7"/>
  <c r="P16" i="7"/>
  <c r="L16" i="7"/>
  <c r="H16" i="7"/>
  <c r="D16" i="7"/>
  <c r="AI16" i="7"/>
  <c r="AE16" i="7"/>
  <c r="AA16" i="7"/>
  <c r="W16" i="7"/>
  <c r="S16" i="7"/>
  <c r="O16" i="7"/>
  <c r="AK16" i="7"/>
  <c r="AC16" i="7"/>
  <c r="U16" i="7"/>
  <c r="M16" i="7"/>
  <c r="G16" i="7"/>
  <c r="B16" i="7"/>
  <c r="AH16" i="7"/>
  <c r="Z16" i="7"/>
  <c r="R16" i="7"/>
  <c r="K16" i="7"/>
  <c r="F16" i="7"/>
  <c r="AG16" i="7"/>
  <c r="Y16" i="7"/>
  <c r="Q16" i="7"/>
  <c r="J16" i="7"/>
  <c r="E16" i="7"/>
  <c r="AD16" i="7"/>
  <c r="C16" i="7"/>
  <c r="V16" i="7"/>
  <c r="N16" i="7"/>
  <c r="I16" i="7"/>
  <c r="AG13" i="7"/>
  <c r="R13" i="7"/>
  <c r="Y13" i="7"/>
  <c r="H13" i="7"/>
  <c r="X13" i="7"/>
  <c r="B16" i="12"/>
  <c r="B15" i="5"/>
  <c r="B17" i="5" s="1"/>
  <c r="B14" i="5"/>
  <c r="B19" i="5" s="1"/>
  <c r="B21" i="5" s="1"/>
  <c r="B17" i="12" s="1"/>
  <c r="C12" i="5"/>
  <c r="C13" i="5"/>
  <c r="AA29" i="12"/>
  <c r="AA12" i="12"/>
  <c r="AA15" i="6"/>
  <c r="K12" i="12"/>
  <c r="K29" i="12"/>
  <c r="K15" i="6"/>
  <c r="X29" i="12"/>
  <c r="J12" i="7"/>
  <c r="B12" i="7"/>
  <c r="H12" i="7"/>
  <c r="R2" i="11"/>
  <c r="P2" i="6"/>
  <c r="AC15" i="7"/>
  <c r="C15" i="7"/>
  <c r="Y15" i="7"/>
  <c r="J15" i="7"/>
  <c r="AE15" i="7"/>
  <c r="Q15" i="7"/>
  <c r="D15" i="7"/>
  <c r="T15" i="7"/>
  <c r="AJ15" i="7"/>
  <c r="S29" i="12"/>
  <c r="K24" i="12"/>
  <c r="L34" i="5"/>
  <c r="L11" i="5"/>
  <c r="Q14" i="7"/>
  <c r="AJ29" i="12"/>
  <c r="AJ12" i="12"/>
  <c r="AJ15" i="6"/>
  <c r="AK7" i="5"/>
  <c r="AK13" i="12" s="1"/>
  <c r="Y29" i="12"/>
  <c r="O29" i="12"/>
  <c r="O12" i="12"/>
  <c r="O15" i="6"/>
  <c r="P7" i="5"/>
  <c r="P13" i="12" s="1"/>
  <c r="V14" i="7"/>
  <c r="AG14" i="7"/>
  <c r="R14" i="7"/>
  <c r="C14" i="7"/>
  <c r="Y14" i="7"/>
  <c r="J14" i="7"/>
  <c r="AE14" i="7"/>
  <c r="L14" i="7"/>
  <c r="AB14" i="7"/>
  <c r="AK29" i="12"/>
  <c r="D62" i="12" l="1"/>
  <c r="B62" i="12"/>
  <c r="C62" i="12"/>
  <c r="O31" i="12"/>
  <c r="O30" i="12"/>
  <c r="Q30" i="12"/>
  <c r="Q31" i="12"/>
  <c r="N30" i="12"/>
  <c r="N31" i="12"/>
  <c r="AD30" i="12"/>
  <c r="AD31" i="12"/>
  <c r="W30" i="12"/>
  <c r="W31" i="12"/>
  <c r="R31" i="12"/>
  <c r="R30" i="12"/>
  <c r="B17" i="7"/>
  <c r="M17" i="7"/>
  <c r="F17" i="7"/>
  <c r="L17" i="7"/>
  <c r="M27" i="12"/>
  <c r="V31" i="12"/>
  <c r="V30" i="12"/>
  <c r="H30" i="12"/>
  <c r="H31" i="12"/>
  <c r="I6" i="9"/>
  <c r="L4" i="9"/>
  <c r="H6" i="9"/>
  <c r="Y31" i="12"/>
  <c r="Y30" i="12"/>
  <c r="AJ30" i="12"/>
  <c r="AJ31" i="12"/>
  <c r="K30" i="12"/>
  <c r="K31" i="12"/>
  <c r="AA30" i="12"/>
  <c r="AA31" i="12"/>
  <c r="B7" i="6"/>
  <c r="B64" i="5"/>
  <c r="B23" i="5"/>
  <c r="B20" i="5"/>
  <c r="H27" i="12"/>
  <c r="H32" i="12" s="1"/>
  <c r="E17" i="7"/>
  <c r="K17" i="7"/>
  <c r="AG30" i="12"/>
  <c r="AG31" i="12"/>
  <c r="Z30" i="12"/>
  <c r="Z31" i="12"/>
  <c r="M31" i="12"/>
  <c r="M30" i="12"/>
  <c r="E27" i="12"/>
  <c r="C22" i="12"/>
  <c r="C50" i="5"/>
  <c r="D48" i="5"/>
  <c r="D49" i="5"/>
  <c r="F31" i="12"/>
  <c r="F30" i="12"/>
  <c r="I31" i="12"/>
  <c r="I30" i="12"/>
  <c r="AE30" i="12"/>
  <c r="AE31" i="12"/>
  <c r="AC31" i="12"/>
  <c r="AC30" i="12"/>
  <c r="J6" i="9"/>
  <c r="AK30" i="12"/>
  <c r="AK31" i="12"/>
  <c r="C16" i="12"/>
  <c r="D13" i="5"/>
  <c r="C15" i="5"/>
  <c r="C17" i="5" s="1"/>
  <c r="C14" i="5"/>
  <c r="D12" i="5"/>
  <c r="B61" i="5"/>
  <c r="B43" i="5"/>
  <c r="B44" i="5" s="1"/>
  <c r="B41" i="5"/>
  <c r="B21" i="12" s="1"/>
  <c r="C31" i="12"/>
  <c r="C30" i="12"/>
  <c r="C32" i="12" s="1"/>
  <c r="AF31" i="12"/>
  <c r="AF30" i="12"/>
  <c r="G17" i="7"/>
  <c r="C17" i="7"/>
  <c r="J17" i="7"/>
  <c r="D17" i="7"/>
  <c r="L5" i="9"/>
  <c r="M5" i="9" s="1"/>
  <c r="B30" i="12"/>
  <c r="B32" i="12" s="1"/>
  <c r="B31" i="12"/>
  <c r="AH30" i="12"/>
  <c r="AH31" i="12"/>
  <c r="E30" i="12"/>
  <c r="E31" i="12"/>
  <c r="I27" i="12"/>
  <c r="I32" i="12" s="1"/>
  <c r="D30" i="12"/>
  <c r="D31" i="12"/>
  <c r="B56" i="5"/>
  <c r="B57" i="5" s="1"/>
  <c r="B53" i="5"/>
  <c r="G30" i="12"/>
  <c r="G31" i="12"/>
  <c r="AB30" i="12"/>
  <c r="AB31" i="12"/>
  <c r="L31" i="12"/>
  <c r="L30" i="12"/>
  <c r="AI31" i="12"/>
  <c r="AI30" i="12"/>
  <c r="F27" i="12"/>
  <c r="L27" i="12"/>
  <c r="L32" i="12" s="1"/>
  <c r="S31" i="12"/>
  <c r="S30" i="12"/>
  <c r="X30" i="12"/>
  <c r="X31" i="12"/>
  <c r="D38" i="5"/>
  <c r="J30" i="12"/>
  <c r="J31" i="12"/>
  <c r="K27" i="12"/>
  <c r="N27" i="12"/>
  <c r="U30" i="12"/>
  <c r="U31" i="12"/>
  <c r="B10" i="10"/>
  <c r="B44" i="2" s="1"/>
  <c r="I17" i="7"/>
  <c r="H17" i="7"/>
  <c r="C13" i="12"/>
  <c r="C18" i="5"/>
  <c r="C29" i="5"/>
  <c r="C51" i="5"/>
  <c r="D27" i="12"/>
  <c r="G27" i="12"/>
  <c r="J27" i="12"/>
  <c r="C20" i="12"/>
  <c r="C37" i="5"/>
  <c r="C39" i="5" s="1"/>
  <c r="D36" i="5"/>
  <c r="D35" i="5"/>
  <c r="P31" i="12"/>
  <c r="P30" i="12"/>
  <c r="K6" i="9"/>
  <c r="G32" i="12" l="1"/>
  <c r="K32" i="12"/>
  <c r="E32" i="12"/>
  <c r="C43" i="5"/>
  <c r="C44" i="5" s="1"/>
  <c r="C40" i="5"/>
  <c r="C41" i="5"/>
  <c r="C21" i="12" s="1"/>
  <c r="E8" i="11"/>
  <c r="C18" i="6"/>
  <c r="G8" i="11"/>
  <c r="E18" i="6"/>
  <c r="B8" i="6"/>
  <c r="B65" i="5"/>
  <c r="N8" i="11"/>
  <c r="L18" i="6"/>
  <c r="J8" i="11"/>
  <c r="H18" i="6"/>
  <c r="K8" i="11"/>
  <c r="I18" i="6"/>
  <c r="C31" i="5"/>
  <c r="C61" i="5" s="1"/>
  <c r="C27" i="5"/>
  <c r="D28" i="5"/>
  <c r="D29" i="5"/>
  <c r="N32" i="12"/>
  <c r="I8" i="11"/>
  <c r="G18" i="6"/>
  <c r="J32" i="12"/>
  <c r="D32" i="12"/>
  <c r="B63" i="12"/>
  <c r="L8" i="11"/>
  <c r="J18" i="6"/>
  <c r="B6" i="6"/>
  <c r="D22" i="12"/>
  <c r="D50" i="5"/>
  <c r="E48" i="5"/>
  <c r="E49" i="5"/>
  <c r="M8" i="11"/>
  <c r="K18" i="6"/>
  <c r="B18" i="12"/>
  <c r="B67" i="5"/>
  <c r="B19" i="12" s="1"/>
  <c r="AK7" i="8"/>
  <c r="AK8" i="8" s="1"/>
  <c r="AG7" i="8"/>
  <c r="AG8" i="8" s="1"/>
  <c r="AC7" i="8"/>
  <c r="AC8" i="8" s="1"/>
  <c r="Y7" i="8"/>
  <c r="Y8" i="8" s="1"/>
  <c r="U7" i="8"/>
  <c r="U8" i="8" s="1"/>
  <c r="Q7" i="8"/>
  <c r="Q8" i="8" s="1"/>
  <c r="M7" i="8"/>
  <c r="M8" i="8" s="1"/>
  <c r="I7" i="8"/>
  <c r="I8" i="8" s="1"/>
  <c r="E7" i="8"/>
  <c r="E8" i="8" s="1"/>
  <c r="AI7" i="8"/>
  <c r="AI8" i="8" s="1"/>
  <c r="AD7" i="8"/>
  <c r="AD8" i="8" s="1"/>
  <c r="X7" i="8"/>
  <c r="X8" i="8" s="1"/>
  <c r="S7" i="8"/>
  <c r="S8" i="8" s="1"/>
  <c r="N7" i="8"/>
  <c r="N8" i="8" s="1"/>
  <c r="H7" i="8"/>
  <c r="H8" i="8" s="1"/>
  <c r="AJ20" i="7"/>
  <c r="AF20" i="7"/>
  <c r="AB20" i="7"/>
  <c r="X20" i="7"/>
  <c r="T20" i="7"/>
  <c r="P20" i="7"/>
  <c r="L20" i="7"/>
  <c r="H20" i="7"/>
  <c r="D20" i="7"/>
  <c r="AM7" i="8"/>
  <c r="AM8" i="8" s="1"/>
  <c r="AH7" i="8"/>
  <c r="AH8" i="8" s="1"/>
  <c r="AB7" i="8"/>
  <c r="AB8" i="8" s="1"/>
  <c r="W7" i="8"/>
  <c r="W8" i="8" s="1"/>
  <c r="R7" i="8"/>
  <c r="R8" i="8" s="1"/>
  <c r="L7" i="8"/>
  <c r="L8" i="8" s="1"/>
  <c r="G7" i="8"/>
  <c r="G8" i="8" s="1"/>
  <c r="AI20" i="7"/>
  <c r="AE20" i="7"/>
  <c r="AA20" i="7"/>
  <c r="W20" i="7"/>
  <c r="S20" i="7"/>
  <c r="O20" i="7"/>
  <c r="K20" i="7"/>
  <c r="G20" i="7"/>
  <c r="C20" i="7"/>
  <c r="AL7" i="8"/>
  <c r="AL8" i="8" s="1"/>
  <c r="AF7" i="8"/>
  <c r="AF8" i="8" s="1"/>
  <c r="AA7" i="8"/>
  <c r="AA8" i="8" s="1"/>
  <c r="V7" i="8"/>
  <c r="V8" i="8" s="1"/>
  <c r="P7" i="8"/>
  <c r="P8" i="8" s="1"/>
  <c r="K7" i="8"/>
  <c r="K8" i="8" s="1"/>
  <c r="F7" i="8"/>
  <c r="F8" i="8" s="1"/>
  <c r="AH20" i="7"/>
  <c r="AD20" i="7"/>
  <c r="Z20" i="7"/>
  <c r="V20" i="7"/>
  <c r="R20" i="7"/>
  <c r="N20" i="7"/>
  <c r="J20" i="7"/>
  <c r="F20" i="7"/>
  <c r="B20" i="7"/>
  <c r="AE7" i="8"/>
  <c r="AE8" i="8" s="1"/>
  <c r="J7" i="8"/>
  <c r="J8" i="8" s="1"/>
  <c r="AK20" i="7"/>
  <c r="U20" i="7"/>
  <c r="E20" i="7"/>
  <c r="Z7" i="8"/>
  <c r="Z8" i="8" s="1"/>
  <c r="D7" i="8"/>
  <c r="D8" i="8" s="1"/>
  <c r="AG20" i="7"/>
  <c r="Q20" i="7"/>
  <c r="T7" i="8"/>
  <c r="T8" i="8" s="1"/>
  <c r="AC20" i="7"/>
  <c r="M20" i="7"/>
  <c r="O7" i="8"/>
  <c r="O8" i="8" s="1"/>
  <c r="I20" i="7"/>
  <c r="AJ7" i="8"/>
  <c r="AJ8" i="8" s="1"/>
  <c r="Y20" i="7"/>
  <c r="M32" i="12"/>
  <c r="H8" i="11"/>
  <c r="F18" i="6"/>
  <c r="O8" i="11"/>
  <c r="M18" i="6"/>
  <c r="D20" i="12"/>
  <c r="D37" i="5"/>
  <c r="E35" i="5"/>
  <c r="E36" i="5"/>
  <c r="C20" i="5"/>
  <c r="D18" i="5"/>
  <c r="C19" i="5"/>
  <c r="E38" i="5"/>
  <c r="D39" i="5"/>
  <c r="D43" i="5" s="1"/>
  <c r="D44" i="5" s="1"/>
  <c r="B6" i="13"/>
  <c r="B9" i="12"/>
  <c r="B10" i="12" s="1"/>
  <c r="B6" i="7"/>
  <c r="C52" i="5"/>
  <c r="D51" i="5"/>
  <c r="F32" i="12"/>
  <c r="D18" i="6"/>
  <c r="F8" i="11"/>
  <c r="D16" i="12"/>
  <c r="D15" i="5"/>
  <c r="D17" i="5" s="1"/>
  <c r="E13" i="5"/>
  <c r="D14" i="5"/>
  <c r="E12" i="5"/>
  <c r="B24" i="5"/>
  <c r="B60" i="5"/>
  <c r="L6" i="9"/>
  <c r="M4" i="9"/>
  <c r="M6" i="9" s="1"/>
  <c r="D8" i="11"/>
  <c r="B18" i="6"/>
  <c r="C6" i="13" l="1"/>
  <c r="C9" i="12"/>
  <c r="C10" i="12" s="1"/>
  <c r="C6" i="7"/>
  <c r="B62" i="5"/>
  <c r="B63" i="5" s="1"/>
  <c r="B5" i="7" s="1"/>
  <c r="B34" i="12"/>
  <c r="E18" i="5"/>
  <c r="D19" i="5"/>
  <c r="D20" i="5" s="1"/>
  <c r="D31" i="5"/>
  <c r="D61" i="5" s="1"/>
  <c r="E28" i="5"/>
  <c r="D27" i="5"/>
  <c r="E29" i="5"/>
  <c r="B66" i="5"/>
  <c r="B28" i="12"/>
  <c r="E22" i="12"/>
  <c r="F48" i="5"/>
  <c r="F49" i="5"/>
  <c r="E50" i="5"/>
  <c r="E51" i="5"/>
  <c r="D52" i="5"/>
  <c r="D53" i="5" s="1"/>
  <c r="F38" i="5"/>
  <c r="C18" i="12"/>
  <c r="D41" i="5"/>
  <c r="D21" i="12" s="1"/>
  <c r="C56" i="5"/>
  <c r="C57" i="5" s="1"/>
  <c r="C54" i="5"/>
  <c r="C23" i="12" s="1"/>
  <c r="D40" i="5"/>
  <c r="E20" i="12"/>
  <c r="E37" i="5"/>
  <c r="E39" i="5" s="1"/>
  <c r="F35" i="5"/>
  <c r="F36" i="5"/>
  <c r="B7" i="13"/>
  <c r="B8" i="12"/>
  <c r="B6" i="12"/>
  <c r="B10" i="6"/>
  <c r="E16" i="12"/>
  <c r="F13" i="5"/>
  <c r="F12" i="5"/>
  <c r="E15" i="5"/>
  <c r="E17" i="5" s="1"/>
  <c r="E14" i="5"/>
  <c r="C53" i="5"/>
  <c r="C67" i="5" s="1"/>
  <c r="C19" i="12" s="1"/>
  <c r="C7" i="6"/>
  <c r="C64" i="5"/>
  <c r="C23" i="5"/>
  <c r="C21" i="5"/>
  <c r="C17" i="12" s="1"/>
  <c r="E43" i="5" l="1"/>
  <c r="E44" i="5" s="1"/>
  <c r="E41" i="5"/>
  <c r="E21" i="12" s="1"/>
  <c r="E40" i="5"/>
  <c r="D18" i="12"/>
  <c r="D67" i="5"/>
  <c r="D19" i="12" s="1"/>
  <c r="F16" i="12"/>
  <c r="F15" i="5"/>
  <c r="F17" i="5" s="1"/>
  <c r="F14" i="5"/>
  <c r="G12" i="5"/>
  <c r="G13" i="5"/>
  <c r="F20" i="12"/>
  <c r="G36" i="5"/>
  <c r="G35" i="5"/>
  <c r="F37" i="5"/>
  <c r="F39" i="5" s="1"/>
  <c r="G38" i="5"/>
  <c r="B37" i="12"/>
  <c r="B33" i="12"/>
  <c r="F18" i="5"/>
  <c r="E19" i="5"/>
  <c r="C60" i="5"/>
  <c r="C24" i="5"/>
  <c r="C6" i="6"/>
  <c r="D6" i="13"/>
  <c r="D9" i="12"/>
  <c r="D10" i="12" s="1"/>
  <c r="D6" i="7"/>
  <c r="B9" i="6"/>
  <c r="B11" i="6" s="1"/>
  <c r="B7" i="7"/>
  <c r="B8" i="7" s="1"/>
  <c r="C8" i="6"/>
  <c r="C65" i="5"/>
  <c r="D56" i="5"/>
  <c r="D57" i="5" s="1"/>
  <c r="D54" i="5"/>
  <c r="D23" i="12" s="1"/>
  <c r="E31" i="5"/>
  <c r="E61" i="5" s="1"/>
  <c r="F28" i="5"/>
  <c r="E27" i="5"/>
  <c r="F29" i="5"/>
  <c r="B40" i="12"/>
  <c r="B36" i="12"/>
  <c r="B38" i="12" s="1"/>
  <c r="E52" i="5"/>
  <c r="E53" i="5"/>
  <c r="F51" i="5"/>
  <c r="F22" i="12"/>
  <c r="G49" i="5"/>
  <c r="G48" i="5"/>
  <c r="F50" i="5"/>
  <c r="D64" i="5"/>
  <c r="D7" i="6"/>
  <c r="D23" i="5"/>
  <c r="D21" i="5"/>
  <c r="D17" i="12" s="1"/>
  <c r="B3" i="13"/>
  <c r="B7" i="12"/>
  <c r="D6" i="11"/>
  <c r="B5" i="6"/>
  <c r="B18" i="7" l="1"/>
  <c r="B19" i="7" s="1"/>
  <c r="B9" i="7"/>
  <c r="F43" i="5"/>
  <c r="F44" i="5" s="1"/>
  <c r="F40" i="5"/>
  <c r="F41" i="5"/>
  <c r="F21" i="12" s="1"/>
  <c r="E6" i="13"/>
  <c r="E9" i="12"/>
  <c r="E10" i="12" s="1"/>
  <c r="E6" i="7"/>
  <c r="G29" i="5"/>
  <c r="G28" i="5"/>
  <c r="F31" i="5"/>
  <c r="F61" i="5" s="1"/>
  <c r="F27" i="5"/>
  <c r="B12" i="6"/>
  <c r="B16" i="6" s="1"/>
  <c r="B19" i="6" s="1"/>
  <c r="B20" i="6" s="1"/>
  <c r="B13" i="6"/>
  <c r="C7" i="13"/>
  <c r="C6" i="12"/>
  <c r="C10" i="6"/>
  <c r="E7" i="6"/>
  <c r="E64" i="5"/>
  <c r="E23" i="5"/>
  <c r="E21" i="5"/>
  <c r="E17" i="12" s="1"/>
  <c r="B21" i="7"/>
  <c r="D8" i="6"/>
  <c r="D65" i="5"/>
  <c r="G51" i="5"/>
  <c r="F52" i="5"/>
  <c r="B6" i="10"/>
  <c r="B8" i="10" s="1"/>
  <c r="B11" i="10" s="1"/>
  <c r="D7" i="11"/>
  <c r="E20" i="5"/>
  <c r="B39" i="12"/>
  <c r="H38" i="5"/>
  <c r="G20" i="12"/>
  <c r="G37" i="5"/>
  <c r="G39" i="5" s="1"/>
  <c r="H35" i="5"/>
  <c r="H36" i="5"/>
  <c r="C48" i="10"/>
  <c r="D24" i="5"/>
  <c r="D60" i="5"/>
  <c r="D6" i="6"/>
  <c r="G22" i="12"/>
  <c r="G50" i="5"/>
  <c r="H49" i="5"/>
  <c r="H48" i="5"/>
  <c r="E56" i="5"/>
  <c r="E57" i="5" s="1"/>
  <c r="E54" i="5"/>
  <c r="E23" i="12" s="1"/>
  <c r="C28" i="12"/>
  <c r="C66" i="5"/>
  <c r="C62" i="5"/>
  <c r="C63" i="5" s="1"/>
  <c r="C5" i="7" s="1"/>
  <c r="C34" i="12"/>
  <c r="F19" i="5"/>
  <c r="F20" i="5"/>
  <c r="G18" i="5"/>
  <c r="G16" i="12"/>
  <c r="H12" i="5"/>
  <c r="G15" i="5"/>
  <c r="G17" i="5" s="1"/>
  <c r="H13" i="5"/>
  <c r="G14" i="5"/>
  <c r="G43" i="5" l="1"/>
  <c r="G44" i="5" s="1"/>
  <c r="G40" i="5"/>
  <c r="G41" i="5"/>
  <c r="G21" i="12" s="1"/>
  <c r="F6" i="13"/>
  <c r="F9" i="12"/>
  <c r="F10" i="12" s="1"/>
  <c r="F6" i="7"/>
  <c r="D62" i="5"/>
  <c r="D63" i="5" s="1"/>
  <c r="D5" i="7" s="1"/>
  <c r="D34" i="12"/>
  <c r="F56" i="5"/>
  <c r="F57" i="5" s="1"/>
  <c r="F54" i="5"/>
  <c r="F23" i="12" s="1"/>
  <c r="C3" i="13"/>
  <c r="C7" i="12"/>
  <c r="E6" i="11"/>
  <c r="C5" i="6"/>
  <c r="G52" i="5"/>
  <c r="H51" i="5"/>
  <c r="F18" i="12"/>
  <c r="C9" i="6"/>
  <c r="C11" i="6" s="1"/>
  <c r="C7" i="7"/>
  <c r="E7" i="11" s="1"/>
  <c r="B15" i="10"/>
  <c r="B18" i="10"/>
  <c r="B36" i="2"/>
  <c r="D28" i="12"/>
  <c r="D66" i="5"/>
  <c r="G31" i="5"/>
  <c r="G61" i="5" s="1"/>
  <c r="G27" i="5"/>
  <c r="H29" i="5"/>
  <c r="H28" i="5"/>
  <c r="C40" i="12"/>
  <c r="C36" i="12"/>
  <c r="C38" i="12" s="1"/>
  <c r="G20" i="5"/>
  <c r="H18" i="5"/>
  <c r="G19" i="5"/>
  <c r="H22" i="12"/>
  <c r="H50" i="5"/>
  <c r="I48" i="5"/>
  <c r="I49" i="5"/>
  <c r="H16" i="12"/>
  <c r="H15" i="5"/>
  <c r="H17" i="5" s="1"/>
  <c r="I13" i="5"/>
  <c r="I12" i="5"/>
  <c r="H14" i="5"/>
  <c r="F7" i="6"/>
  <c r="F64" i="5"/>
  <c r="F23" i="5"/>
  <c r="F21" i="5"/>
  <c r="F17" i="12" s="1"/>
  <c r="C37" i="12"/>
  <c r="C33" i="12"/>
  <c r="C39" i="12" s="1"/>
  <c r="D7" i="13"/>
  <c r="D6" i="12"/>
  <c r="D10" i="6"/>
  <c r="H20" i="12"/>
  <c r="I36" i="5"/>
  <c r="H37" i="5"/>
  <c r="H39" i="5" s="1"/>
  <c r="I35" i="5"/>
  <c r="F53" i="5"/>
  <c r="F67" i="5" s="1"/>
  <c r="F19" i="12" s="1"/>
  <c r="I38" i="5"/>
  <c r="E18" i="12"/>
  <c r="E67" i="5"/>
  <c r="E19" i="12" s="1"/>
  <c r="E60" i="5"/>
  <c r="E24" i="5"/>
  <c r="E6" i="6"/>
  <c r="E8" i="6"/>
  <c r="E65" i="5"/>
  <c r="C8" i="12"/>
  <c r="D8" i="12" l="1"/>
  <c r="H43" i="5"/>
  <c r="H44" i="5" s="1"/>
  <c r="H40" i="5"/>
  <c r="H41" i="5"/>
  <c r="H21" i="12" s="1"/>
  <c r="G6" i="13"/>
  <c r="G9" i="12"/>
  <c r="G10" i="12" s="1"/>
  <c r="G6" i="7"/>
  <c r="D9" i="6"/>
  <c r="D11" i="6" s="1"/>
  <c r="D7" i="7"/>
  <c r="F7" i="11" s="1"/>
  <c r="E28" i="12"/>
  <c r="E66" i="5"/>
  <c r="G7" i="6"/>
  <c r="G64" i="5"/>
  <c r="G23" i="5"/>
  <c r="G21" i="5"/>
  <c r="G17" i="12" s="1"/>
  <c r="G56" i="5"/>
  <c r="G57" i="5" s="1"/>
  <c r="G54" i="5"/>
  <c r="G23" i="12" s="1"/>
  <c r="D3" i="13"/>
  <c r="D7" i="12"/>
  <c r="D11" i="12" s="1"/>
  <c r="F6" i="11"/>
  <c r="D8" i="7"/>
  <c r="D18" i="7" s="1"/>
  <c r="D21" i="7" s="1"/>
  <c r="D5" i="6"/>
  <c r="I16" i="12"/>
  <c r="J13" i="5"/>
  <c r="J12" i="5"/>
  <c r="I15" i="5"/>
  <c r="I17" i="5" s="1"/>
  <c r="I14" i="5"/>
  <c r="C19" i="11"/>
  <c r="C21" i="11" s="1"/>
  <c r="C23" i="11" s="1"/>
  <c r="C25" i="11" s="1"/>
  <c r="B23" i="10"/>
  <c r="B16" i="10"/>
  <c r="B17" i="10" s="1"/>
  <c r="I20" i="12"/>
  <c r="I37" i="5"/>
  <c r="I39" i="5" s="1"/>
  <c r="J35" i="5"/>
  <c r="J36" i="5"/>
  <c r="F60" i="5"/>
  <c r="F24" i="5"/>
  <c r="F6" i="6"/>
  <c r="I18" i="5"/>
  <c r="H19" i="5"/>
  <c r="H20" i="5" s="1"/>
  <c r="B19" i="10"/>
  <c r="B39" i="2" s="1"/>
  <c r="B38" i="2"/>
  <c r="G53" i="5"/>
  <c r="G67" i="5" s="1"/>
  <c r="G19" i="12" s="1"/>
  <c r="E62" i="5"/>
  <c r="E63" i="5" s="1"/>
  <c r="E5" i="7" s="1"/>
  <c r="E34" i="12"/>
  <c r="J38" i="5"/>
  <c r="F8" i="6"/>
  <c r="F65" i="5"/>
  <c r="G18" i="12"/>
  <c r="H31" i="5"/>
  <c r="H61" i="5" s="1"/>
  <c r="I28" i="5"/>
  <c r="H27" i="5"/>
  <c r="I29" i="5"/>
  <c r="C12" i="6"/>
  <c r="C16" i="6" s="1"/>
  <c r="C19" i="6" s="1"/>
  <c r="E7" i="13"/>
  <c r="E6" i="12"/>
  <c r="E10" i="6"/>
  <c r="I22" i="12"/>
  <c r="I50" i="5"/>
  <c r="J48" i="5"/>
  <c r="J49" i="5"/>
  <c r="D37" i="12"/>
  <c r="D33" i="12"/>
  <c r="I51" i="5"/>
  <c r="H52" i="5"/>
  <c r="D48" i="10"/>
  <c r="C8" i="7"/>
  <c r="C11" i="12"/>
  <c r="D40" i="12"/>
  <c r="D36" i="12"/>
  <c r="D38" i="12" s="1"/>
  <c r="E8" i="12" l="1"/>
  <c r="H6" i="13"/>
  <c r="H9" i="12"/>
  <c r="H10" i="12" s="1"/>
  <c r="H6" i="7"/>
  <c r="I43" i="5"/>
  <c r="I44" i="5" s="1"/>
  <c r="I41" i="5"/>
  <c r="I21" i="12" s="1"/>
  <c r="I40" i="5"/>
  <c r="C18" i="7"/>
  <c r="C20" i="6" s="1"/>
  <c r="C9" i="7"/>
  <c r="E48" i="10"/>
  <c r="D39" i="12"/>
  <c r="J22" i="12"/>
  <c r="K49" i="5"/>
  <c r="K48" i="5"/>
  <c r="J50" i="5"/>
  <c r="C13" i="6"/>
  <c r="F28" i="12"/>
  <c r="F66" i="5"/>
  <c r="I20" i="5"/>
  <c r="J18" i="5"/>
  <c r="I19" i="5"/>
  <c r="F62" i="5"/>
  <c r="F63" i="5" s="1"/>
  <c r="F5" i="7" s="1"/>
  <c r="F34" i="12"/>
  <c r="D24" i="11"/>
  <c r="C9" i="8"/>
  <c r="C10" i="8" s="1"/>
  <c r="D12" i="6"/>
  <c r="D16" i="6" s="1"/>
  <c r="D19" i="6" s="1"/>
  <c r="D20" i="6" s="1"/>
  <c r="D19" i="7"/>
  <c r="G8" i="6"/>
  <c r="G65" i="5"/>
  <c r="I31" i="5"/>
  <c r="J28" i="5"/>
  <c r="I27" i="5"/>
  <c r="J29" i="5"/>
  <c r="E3" i="13"/>
  <c r="E7" i="12"/>
  <c r="E11" i="12" s="1"/>
  <c r="G6" i="11"/>
  <c r="E5" i="6"/>
  <c r="B20" i="10"/>
  <c r="B40" i="2" s="1"/>
  <c r="I61" i="5"/>
  <c r="E9" i="6"/>
  <c r="E11" i="6" s="1"/>
  <c r="E7" i="7"/>
  <c r="G7" i="11" s="1"/>
  <c r="H56" i="5"/>
  <c r="H57" i="5" s="1"/>
  <c r="H54" i="5"/>
  <c r="H23" i="12" s="1"/>
  <c r="E40" i="12"/>
  <c r="E36" i="12"/>
  <c r="E38" i="12" s="1"/>
  <c r="H18" i="12"/>
  <c r="F7" i="13"/>
  <c r="F8" i="12"/>
  <c r="F6" i="12"/>
  <c r="F10" i="6"/>
  <c r="J16" i="12"/>
  <c r="J15" i="5"/>
  <c r="J17" i="5" s="1"/>
  <c r="J14" i="5"/>
  <c r="K13" i="5"/>
  <c r="K12" i="5"/>
  <c r="J51" i="5"/>
  <c r="I52" i="5"/>
  <c r="I53" i="5" s="1"/>
  <c r="H53" i="5"/>
  <c r="H67" i="5" s="1"/>
  <c r="H19" i="12" s="1"/>
  <c r="K38" i="5"/>
  <c r="J39" i="5"/>
  <c r="J43" i="5" s="1"/>
  <c r="J44" i="5" s="1"/>
  <c r="H64" i="5"/>
  <c r="H23" i="5"/>
  <c r="H7" i="6"/>
  <c r="H21" i="5"/>
  <c r="H17" i="12" s="1"/>
  <c r="J20" i="12"/>
  <c r="K36" i="5"/>
  <c r="K35" i="5"/>
  <c r="J37" i="5"/>
  <c r="B26" i="10"/>
  <c r="B41" i="2" s="1"/>
  <c r="C13" i="8"/>
  <c r="C16" i="8" s="1"/>
  <c r="AC32" i="10"/>
  <c r="AB22" i="7" s="1"/>
  <c r="AD9" i="11" s="1"/>
  <c r="AH33" i="10"/>
  <c r="AI20" i="11" s="1"/>
  <c r="AI21" i="11" s="1"/>
  <c r="R33" i="10"/>
  <c r="S20" i="11" s="1"/>
  <c r="S21" i="11" s="1"/>
  <c r="AA33" i="10"/>
  <c r="AB20" i="11" s="1"/>
  <c r="AB21" i="11" s="1"/>
  <c r="G33" i="10"/>
  <c r="H20" i="11" s="1"/>
  <c r="H21" i="11" s="1"/>
  <c r="AB32" i="10"/>
  <c r="AA22" i="7" s="1"/>
  <c r="AC9" i="11" s="1"/>
  <c r="L32" i="10"/>
  <c r="K22" i="7" s="1"/>
  <c r="M9" i="11" s="1"/>
  <c r="AG31" i="10"/>
  <c r="Q31" i="10"/>
  <c r="T33" i="10"/>
  <c r="U20" i="11" s="1"/>
  <c r="U21" i="11" s="1"/>
  <c r="AI32" i="10"/>
  <c r="AH22" i="7" s="1"/>
  <c r="AJ9" i="11" s="1"/>
  <c r="S32" i="10"/>
  <c r="R22" i="7" s="1"/>
  <c r="T9" i="11" s="1"/>
  <c r="C32" i="10"/>
  <c r="X31" i="10"/>
  <c r="H31" i="10"/>
  <c r="AC33" i="10"/>
  <c r="AD20" i="11" s="1"/>
  <c r="AD21" i="11" s="1"/>
  <c r="I33" i="10"/>
  <c r="J20" i="11" s="1"/>
  <c r="J21" i="11" s="1"/>
  <c r="AD32" i="10"/>
  <c r="AC22" i="7" s="1"/>
  <c r="AE9" i="11" s="1"/>
  <c r="N32" i="10"/>
  <c r="M22" i="7" s="1"/>
  <c r="O9" i="11" s="1"/>
  <c r="AE31" i="10"/>
  <c r="O31" i="10"/>
  <c r="I32" i="10"/>
  <c r="H22" i="7" s="1"/>
  <c r="J9" i="11" s="1"/>
  <c r="E32" i="10"/>
  <c r="D22" i="7" s="1"/>
  <c r="F9" i="11" s="1"/>
  <c r="F11" i="11" s="1"/>
  <c r="Q32" i="10"/>
  <c r="P22" i="7" s="1"/>
  <c r="R9" i="11" s="1"/>
  <c r="AB33" i="10"/>
  <c r="AC20" i="11" s="1"/>
  <c r="AC21" i="11" s="1"/>
  <c r="R31" i="10"/>
  <c r="AG33" i="10"/>
  <c r="AH20" i="11" s="1"/>
  <c r="AH21" i="11" s="1"/>
  <c r="Y32" i="10"/>
  <c r="X22" i="7" s="1"/>
  <c r="Z9" i="11" s="1"/>
  <c r="F31" i="10"/>
  <c r="AD33" i="10"/>
  <c r="AE20" i="11" s="1"/>
  <c r="AE21" i="11" s="1"/>
  <c r="N33" i="10"/>
  <c r="O20" i="11" s="1"/>
  <c r="O21" i="11" s="1"/>
  <c r="U33" i="10"/>
  <c r="V20" i="11" s="1"/>
  <c r="V21" i="11" s="1"/>
  <c r="C33" i="10"/>
  <c r="X32" i="10"/>
  <c r="W22" i="7" s="1"/>
  <c r="Y9" i="11" s="1"/>
  <c r="H32" i="10"/>
  <c r="G22" i="7" s="1"/>
  <c r="I9" i="11" s="1"/>
  <c r="AC31" i="10"/>
  <c r="M31" i="10"/>
  <c r="AJ33" i="10"/>
  <c r="AK20" i="11" s="1"/>
  <c r="AK21" i="11" s="1"/>
  <c r="O33" i="10"/>
  <c r="P20" i="11" s="1"/>
  <c r="P21" i="11" s="1"/>
  <c r="AE32" i="10"/>
  <c r="AD22" i="7" s="1"/>
  <c r="AF9" i="11" s="1"/>
  <c r="O32" i="10"/>
  <c r="N22" i="7" s="1"/>
  <c r="P9" i="11" s="1"/>
  <c r="AJ31" i="10"/>
  <c r="T31" i="10"/>
  <c r="D31" i="10"/>
  <c r="X33" i="10"/>
  <c r="Y20" i="11" s="1"/>
  <c r="Y21" i="11" s="1"/>
  <c r="E33" i="10"/>
  <c r="F20" i="11" s="1"/>
  <c r="F21" i="11" s="1"/>
  <c r="Z32" i="10"/>
  <c r="Y22" i="7" s="1"/>
  <c r="AA9" i="11" s="1"/>
  <c r="J32" i="10"/>
  <c r="I22" i="7" s="1"/>
  <c r="K9" i="11" s="1"/>
  <c r="AA31" i="10"/>
  <c r="K31" i="10"/>
  <c r="W33" i="10"/>
  <c r="X20" i="11" s="1"/>
  <c r="X21" i="11" s="1"/>
  <c r="AD31" i="10"/>
  <c r="Q33" i="10"/>
  <c r="R20" i="11" s="1"/>
  <c r="R21" i="11" s="1"/>
  <c r="Z31" i="10"/>
  <c r="AL31" i="10"/>
  <c r="AH31" i="10"/>
  <c r="AG32" i="10"/>
  <c r="AF22" i="7" s="1"/>
  <c r="AH9" i="11" s="1"/>
  <c r="Z33" i="10"/>
  <c r="AA20" i="11" s="1"/>
  <c r="AA21" i="11" s="1"/>
  <c r="AK33" i="10"/>
  <c r="AL20" i="11" s="1"/>
  <c r="AL21" i="11" s="1"/>
  <c r="P33" i="10"/>
  <c r="Q20" i="11" s="1"/>
  <c r="Q21" i="11" s="1"/>
  <c r="AJ32" i="10"/>
  <c r="AI22" i="7" s="1"/>
  <c r="AK9" i="11" s="1"/>
  <c r="T32" i="10"/>
  <c r="S22" i="7" s="1"/>
  <c r="U9" i="11" s="1"/>
  <c r="D32" i="10"/>
  <c r="C22" i="7" s="1"/>
  <c r="E9" i="11" s="1"/>
  <c r="E11" i="11" s="1"/>
  <c r="Y31" i="10"/>
  <c r="I31" i="10"/>
  <c r="AE33" i="10"/>
  <c r="AF20" i="11" s="1"/>
  <c r="AF21" i="11" s="1"/>
  <c r="J33" i="10"/>
  <c r="K20" i="11" s="1"/>
  <c r="K21" i="11" s="1"/>
  <c r="AA32" i="10"/>
  <c r="Z22" i="7" s="1"/>
  <c r="AB9" i="11" s="1"/>
  <c r="K32" i="10"/>
  <c r="J22" i="7" s="1"/>
  <c r="L9" i="11" s="1"/>
  <c r="AF31" i="10"/>
  <c r="P31" i="10"/>
  <c r="S33" i="10"/>
  <c r="T20" i="11" s="1"/>
  <c r="T21" i="11" s="1"/>
  <c r="AL32" i="10"/>
  <c r="AK22" i="7" s="1"/>
  <c r="AM9" i="11" s="1"/>
  <c r="V32" i="10"/>
  <c r="U22" i="7" s="1"/>
  <c r="W9" i="11" s="1"/>
  <c r="F32" i="10"/>
  <c r="E22" i="7" s="1"/>
  <c r="G9" i="11" s="1"/>
  <c r="W31" i="10"/>
  <c r="G31" i="10"/>
  <c r="D33" i="10"/>
  <c r="E20" i="11" s="1"/>
  <c r="E21" i="11" s="1"/>
  <c r="N31" i="10"/>
  <c r="AK32" i="10"/>
  <c r="AJ22" i="7" s="1"/>
  <c r="AL9" i="11" s="1"/>
  <c r="J31" i="10"/>
  <c r="L33" i="10"/>
  <c r="M20" i="11" s="1"/>
  <c r="M21" i="11" s="1"/>
  <c r="V31" i="10"/>
  <c r="M32" i="10"/>
  <c r="L22" i="7" s="1"/>
  <c r="N9" i="11" s="1"/>
  <c r="R32" i="10"/>
  <c r="Q22" i="7" s="1"/>
  <c r="S9" i="11" s="1"/>
  <c r="C31" i="10"/>
  <c r="H33" i="10"/>
  <c r="I20" i="11" s="1"/>
  <c r="I21" i="11" s="1"/>
  <c r="AL33" i="10"/>
  <c r="AM20" i="11" s="1"/>
  <c r="AM21" i="11" s="1"/>
  <c r="V33" i="10"/>
  <c r="W20" i="11" s="1"/>
  <c r="W21" i="11" s="1"/>
  <c r="AF33" i="10"/>
  <c r="AG20" i="11" s="1"/>
  <c r="AG21" i="11" s="1"/>
  <c r="K33" i="10"/>
  <c r="L20" i="11" s="1"/>
  <c r="L21" i="11" s="1"/>
  <c r="AF32" i="10"/>
  <c r="AE22" i="7" s="1"/>
  <c r="AG9" i="11" s="1"/>
  <c r="P32" i="10"/>
  <c r="O22" i="7" s="1"/>
  <c r="Q9" i="11" s="1"/>
  <c r="AK31" i="10"/>
  <c r="U31" i="10"/>
  <c r="E31" i="10"/>
  <c r="Y33" i="10"/>
  <c r="Z20" i="11" s="1"/>
  <c r="Z21" i="11" s="1"/>
  <c r="F33" i="10"/>
  <c r="G20" i="11" s="1"/>
  <c r="G21" i="11" s="1"/>
  <c r="W32" i="10"/>
  <c r="V22" i="7" s="1"/>
  <c r="X9" i="11" s="1"/>
  <c r="G32" i="10"/>
  <c r="F22" i="7" s="1"/>
  <c r="H9" i="11" s="1"/>
  <c r="AB31" i="10"/>
  <c r="L31" i="10"/>
  <c r="AI33" i="10"/>
  <c r="AJ20" i="11" s="1"/>
  <c r="AJ21" i="11" s="1"/>
  <c r="M33" i="10"/>
  <c r="N20" i="11" s="1"/>
  <c r="N21" i="11" s="1"/>
  <c r="AH32" i="10"/>
  <c r="AG22" i="7" s="1"/>
  <c r="AI9" i="11" s="1"/>
  <c r="AI31" i="10"/>
  <c r="S31" i="10"/>
  <c r="U32" i="10"/>
  <c r="T22" i="7" s="1"/>
  <c r="V9" i="11" s="1"/>
  <c r="D9" i="7"/>
  <c r="G60" i="5"/>
  <c r="G24" i="5"/>
  <c r="G6" i="6"/>
  <c r="E37" i="12"/>
  <c r="E33" i="12"/>
  <c r="E39" i="12" s="1"/>
  <c r="E8" i="7" l="1"/>
  <c r="E18" i="7" s="1"/>
  <c r="E21" i="7" s="1"/>
  <c r="J41" i="5"/>
  <c r="J21" i="12" s="1"/>
  <c r="J40" i="5"/>
  <c r="F27" i="11"/>
  <c r="F23" i="11"/>
  <c r="B31" i="10"/>
  <c r="D20" i="11"/>
  <c r="D21" i="11" s="1"/>
  <c r="B33" i="10"/>
  <c r="B32" i="10"/>
  <c r="B27" i="10" s="1"/>
  <c r="B22" i="7"/>
  <c r="H24" i="5"/>
  <c r="H60" i="5"/>
  <c r="H6" i="6"/>
  <c r="L38" i="5"/>
  <c r="K16" i="12"/>
  <c r="K15" i="5"/>
  <c r="K17" i="5" s="1"/>
  <c r="K14" i="5"/>
  <c r="L12" i="5"/>
  <c r="L13" i="5"/>
  <c r="D23" i="7"/>
  <c r="D25" i="7" s="1"/>
  <c r="E19" i="7"/>
  <c r="C18" i="8"/>
  <c r="I7" i="6"/>
  <c r="I64" i="5"/>
  <c r="I23" i="5"/>
  <c r="I21" i="5"/>
  <c r="I17" i="12" s="1"/>
  <c r="F37" i="12"/>
  <c r="F33" i="12"/>
  <c r="C34" i="10"/>
  <c r="H8" i="6"/>
  <c r="H65" i="5"/>
  <c r="I56" i="5"/>
  <c r="I57" i="5" s="1"/>
  <c r="I54" i="5"/>
  <c r="I23" i="12" s="1"/>
  <c r="E9" i="7"/>
  <c r="J19" i="5"/>
  <c r="K18" i="5"/>
  <c r="K22" i="12"/>
  <c r="K50" i="5"/>
  <c r="L48" i="5"/>
  <c r="L49" i="5"/>
  <c r="F48" i="10"/>
  <c r="E27" i="11"/>
  <c r="E23" i="11"/>
  <c r="K51" i="5"/>
  <c r="J52" i="5"/>
  <c r="I6" i="13"/>
  <c r="I9" i="12"/>
  <c r="I10" i="12" s="1"/>
  <c r="I6" i="7"/>
  <c r="E23" i="7"/>
  <c r="E25" i="7" s="1"/>
  <c r="K29" i="5"/>
  <c r="K28" i="5"/>
  <c r="J31" i="5"/>
  <c r="J61" i="5" s="1"/>
  <c r="J27" i="5"/>
  <c r="F40" i="12"/>
  <c r="F36" i="12"/>
  <c r="F38" i="12" s="1"/>
  <c r="I18" i="12"/>
  <c r="I67" i="5"/>
  <c r="I19" i="12" s="1"/>
  <c r="G62" i="5"/>
  <c r="G63" i="5" s="1"/>
  <c r="G5" i="7" s="1"/>
  <c r="G34" i="12"/>
  <c r="G7" i="13"/>
  <c r="G6" i="12"/>
  <c r="G10" i="6"/>
  <c r="K20" i="12"/>
  <c r="K37" i="5"/>
  <c r="K39" i="5" s="1"/>
  <c r="L35" i="5"/>
  <c r="L36" i="5"/>
  <c r="E12" i="6"/>
  <c r="E16" i="6" s="1"/>
  <c r="E19" i="6" s="1"/>
  <c r="E20" i="6" s="1"/>
  <c r="G11" i="11"/>
  <c r="G28" i="12"/>
  <c r="G66" i="5"/>
  <c r="D13" i="6"/>
  <c r="F3" i="13"/>
  <c r="F7" i="12"/>
  <c r="H6" i="11"/>
  <c r="F5" i="6"/>
  <c r="F9" i="6"/>
  <c r="F11" i="6" s="1"/>
  <c r="F7" i="7"/>
  <c r="H7" i="11" s="1"/>
  <c r="C21" i="7"/>
  <c r="C23" i="7" s="1"/>
  <c r="C25" i="7" s="1"/>
  <c r="C19" i="7"/>
  <c r="F8" i="7" l="1"/>
  <c r="F18" i="7" s="1"/>
  <c r="F21" i="7" s="1"/>
  <c r="F23" i="7" s="1"/>
  <c r="F25" i="7" s="1"/>
  <c r="F4" i="13" s="1"/>
  <c r="G48" i="10"/>
  <c r="K43" i="5"/>
  <c r="K44" i="5" s="1"/>
  <c r="K40" i="5"/>
  <c r="K41" i="5"/>
  <c r="K21" i="12" s="1"/>
  <c r="G23" i="11"/>
  <c r="G27" i="11"/>
  <c r="G40" i="12"/>
  <c r="G36" i="12"/>
  <c r="G38" i="12" s="1"/>
  <c r="J6" i="13"/>
  <c r="J9" i="12"/>
  <c r="J10" i="12" s="1"/>
  <c r="J6" i="7"/>
  <c r="J56" i="5"/>
  <c r="J57" i="5" s="1"/>
  <c r="J54" i="5"/>
  <c r="J23" i="12" s="1"/>
  <c r="D4" i="13"/>
  <c r="D26" i="7"/>
  <c r="M38" i="5"/>
  <c r="C4" i="13"/>
  <c r="C26" i="7"/>
  <c r="G9" i="6"/>
  <c r="G11" i="6" s="1"/>
  <c r="G7" i="7"/>
  <c r="I7" i="11" s="1"/>
  <c r="J7" i="6"/>
  <c r="J64" i="5"/>
  <c r="J23" i="5"/>
  <c r="J21" i="5"/>
  <c r="J17" i="12" s="1"/>
  <c r="H28" i="12"/>
  <c r="H66" i="5"/>
  <c r="F13" i="6"/>
  <c r="F12" i="6"/>
  <c r="F16" i="6" s="1"/>
  <c r="F19" i="6" s="1"/>
  <c r="F20" i="6" s="1"/>
  <c r="G37" i="12"/>
  <c r="G33" i="12"/>
  <c r="E13" i="6"/>
  <c r="G3" i="13"/>
  <c r="G7" i="12"/>
  <c r="I6" i="11"/>
  <c r="I11" i="11" s="1"/>
  <c r="G5" i="6"/>
  <c r="G26" i="7"/>
  <c r="G8" i="7"/>
  <c r="G18" i="7" s="1"/>
  <c r="G21" i="7" s="1"/>
  <c r="G23" i="7" s="1"/>
  <c r="G25" i="7" s="1"/>
  <c r="G4" i="13" s="1"/>
  <c r="K31" i="5"/>
  <c r="K61" i="5" s="1"/>
  <c r="K27" i="5"/>
  <c r="L28" i="5"/>
  <c r="L29" i="5"/>
  <c r="K52" i="5"/>
  <c r="K53" i="5" s="1"/>
  <c r="L51" i="5"/>
  <c r="L22" i="12"/>
  <c r="M49" i="5"/>
  <c r="L50" i="5"/>
  <c r="M48" i="5"/>
  <c r="C19" i="8"/>
  <c r="L16" i="12"/>
  <c r="L15" i="5"/>
  <c r="L17" i="5" s="1"/>
  <c r="M12" i="5"/>
  <c r="M13" i="5"/>
  <c r="L14" i="5"/>
  <c r="H7" i="13"/>
  <c r="H6" i="12"/>
  <c r="H10" i="6"/>
  <c r="G8" i="12"/>
  <c r="E4" i="13"/>
  <c r="E26" i="7"/>
  <c r="L18" i="5"/>
  <c r="K19" i="5"/>
  <c r="K20" i="5" s="1"/>
  <c r="D34" i="10"/>
  <c r="D13" i="8"/>
  <c r="I60" i="5"/>
  <c r="I24" i="5"/>
  <c r="I6" i="6"/>
  <c r="F11" i="12"/>
  <c r="H62" i="5"/>
  <c r="H63" i="5" s="1"/>
  <c r="H5" i="7" s="1"/>
  <c r="H34" i="12"/>
  <c r="F26" i="7"/>
  <c r="F19" i="7"/>
  <c r="F9" i="7"/>
  <c r="H11" i="11"/>
  <c r="L20" i="12"/>
  <c r="M35" i="5"/>
  <c r="M36" i="5"/>
  <c r="L37" i="5"/>
  <c r="L39" i="5" s="1"/>
  <c r="J53" i="5"/>
  <c r="C44" i="12"/>
  <c r="J20" i="5"/>
  <c r="F39" i="12"/>
  <c r="I8" i="6"/>
  <c r="I65" i="5"/>
  <c r="D9" i="11"/>
  <c r="D11" i="11" s="1"/>
  <c r="B23" i="7"/>
  <c r="D44" i="12"/>
  <c r="L43" i="5" l="1"/>
  <c r="L44" i="5" s="1"/>
  <c r="L40" i="5"/>
  <c r="L41" i="5"/>
  <c r="L21" i="12" s="1"/>
  <c r="K6" i="13"/>
  <c r="K9" i="12"/>
  <c r="K10" i="12" s="1"/>
  <c r="K6" i="7"/>
  <c r="J18" i="12"/>
  <c r="J67" i="5"/>
  <c r="J19" i="12" s="1"/>
  <c r="H40" i="12"/>
  <c r="H36" i="12"/>
  <c r="H38" i="12" s="1"/>
  <c r="E34" i="10"/>
  <c r="E13" i="8"/>
  <c r="H8" i="12"/>
  <c r="L52" i="5"/>
  <c r="M51" i="5"/>
  <c r="G9" i="7"/>
  <c r="G19" i="7"/>
  <c r="H48" i="10"/>
  <c r="B25" i="7"/>
  <c r="M18" i="5"/>
  <c r="L19" i="5"/>
  <c r="L20" i="5" s="1"/>
  <c r="M22" i="12"/>
  <c r="M50" i="5"/>
  <c r="N48" i="5"/>
  <c r="N49" i="5"/>
  <c r="H9" i="6"/>
  <c r="H11" i="6" s="1"/>
  <c r="H7" i="7"/>
  <c r="J7" i="11" s="1"/>
  <c r="J8" i="6"/>
  <c r="J65" i="5"/>
  <c r="D27" i="11"/>
  <c r="D23" i="11"/>
  <c r="D25" i="11" s="1"/>
  <c r="I28" i="12"/>
  <c r="I66" i="5"/>
  <c r="H27" i="11"/>
  <c r="H23" i="11"/>
  <c r="H3" i="13"/>
  <c r="H7" i="12"/>
  <c r="J6" i="11"/>
  <c r="H5" i="6"/>
  <c r="I62" i="5"/>
  <c r="I63" i="5" s="1"/>
  <c r="I5" i="7" s="1"/>
  <c r="I34" i="12"/>
  <c r="K7" i="6"/>
  <c r="K64" i="5"/>
  <c r="K23" i="5"/>
  <c r="K21" i="5"/>
  <c r="K17" i="12" s="1"/>
  <c r="K56" i="5"/>
  <c r="K57" i="5" s="1"/>
  <c r="K54" i="5"/>
  <c r="K23" i="12" s="1"/>
  <c r="I27" i="11"/>
  <c r="I23" i="11"/>
  <c r="G39" i="12"/>
  <c r="J60" i="5"/>
  <c r="J24" i="5"/>
  <c r="J6" i="6"/>
  <c r="M39" i="5"/>
  <c r="M43" i="5" s="1"/>
  <c r="M44" i="5" s="1"/>
  <c r="M40" i="5"/>
  <c r="N38" i="5"/>
  <c r="E44" i="12"/>
  <c r="M20" i="12"/>
  <c r="N36" i="5"/>
  <c r="M37" i="5"/>
  <c r="N35" i="5"/>
  <c r="I7" i="13"/>
  <c r="I8" i="12"/>
  <c r="I6" i="12"/>
  <c r="I10" i="6"/>
  <c r="H11" i="12"/>
  <c r="K18" i="12"/>
  <c r="K67" i="5"/>
  <c r="K19" i="12" s="1"/>
  <c r="M16" i="12"/>
  <c r="B59" i="12" s="1"/>
  <c r="N13" i="5"/>
  <c r="N12" i="5"/>
  <c r="M15" i="5"/>
  <c r="M17" i="5" s="1"/>
  <c r="M14" i="5"/>
  <c r="M29" i="5"/>
  <c r="L27" i="5"/>
  <c r="L31" i="5"/>
  <c r="L61" i="5" s="1"/>
  <c r="M28" i="5"/>
  <c r="G12" i="6"/>
  <c r="G16" i="6" s="1"/>
  <c r="G19" i="6" s="1"/>
  <c r="G20" i="6" s="1"/>
  <c r="G13" i="6"/>
  <c r="G11" i="12"/>
  <c r="H37" i="12"/>
  <c r="H33" i="12"/>
  <c r="H39" i="12" s="1"/>
  <c r="L6" i="13" l="1"/>
  <c r="L9" i="12"/>
  <c r="L10" i="12" s="1"/>
  <c r="L6" i="7"/>
  <c r="N20" i="12"/>
  <c r="O35" i="5"/>
  <c r="N37" i="5"/>
  <c r="G44" i="12"/>
  <c r="L56" i="5"/>
  <c r="L57" i="5" s="1"/>
  <c r="L54" i="5"/>
  <c r="L23" i="12" s="1"/>
  <c r="F34" i="10"/>
  <c r="F13" i="8"/>
  <c r="M31" i="5"/>
  <c r="N28" i="5"/>
  <c r="M27" i="5"/>
  <c r="N29" i="5"/>
  <c r="N16" i="12"/>
  <c r="N15" i="5"/>
  <c r="N17" i="5" s="1"/>
  <c r="N14" i="5"/>
  <c r="O12" i="5"/>
  <c r="M41" i="5"/>
  <c r="M21" i="12" s="1"/>
  <c r="K60" i="5"/>
  <c r="K24" i="5"/>
  <c r="K6" i="6"/>
  <c r="I3" i="13"/>
  <c r="I7" i="12"/>
  <c r="K6" i="11"/>
  <c r="I5" i="6"/>
  <c r="I37" i="12"/>
  <c r="I33" i="12"/>
  <c r="I39" i="12" s="1"/>
  <c r="J28" i="12"/>
  <c r="J66" i="5"/>
  <c r="N22" i="12"/>
  <c r="O49" i="5"/>
  <c r="O48" i="5"/>
  <c r="N50" i="5"/>
  <c r="L7" i="6"/>
  <c r="L23" i="5"/>
  <c r="L64" i="5"/>
  <c r="L21" i="5"/>
  <c r="L17" i="12" s="1"/>
  <c r="B4" i="13"/>
  <c r="B8" i="13" s="1"/>
  <c r="H15" i="8"/>
  <c r="D15" i="8"/>
  <c r="D16" i="8" s="1"/>
  <c r="G15" i="8"/>
  <c r="F15" i="8"/>
  <c r="I15" i="8"/>
  <c r="E15" i="8"/>
  <c r="E16" i="8" s="1"/>
  <c r="B26" i="7"/>
  <c r="N51" i="5"/>
  <c r="M52" i="5"/>
  <c r="N39" i="5"/>
  <c r="N43" i="5" s="1"/>
  <c r="N44" i="5" s="1"/>
  <c r="K8" i="6"/>
  <c r="K65" i="5"/>
  <c r="H12" i="6"/>
  <c r="H16" i="6" s="1"/>
  <c r="H19" i="6" s="1"/>
  <c r="B43" i="12"/>
  <c r="B5" i="13"/>
  <c r="E24" i="11"/>
  <c r="E25" i="11" s="1"/>
  <c r="D9" i="8"/>
  <c r="D10" i="8" s="1"/>
  <c r="D18" i="8" s="1"/>
  <c r="D19" i="8" s="1"/>
  <c r="L18" i="12"/>
  <c r="L67" i="5"/>
  <c r="L19" i="12" s="1"/>
  <c r="I48" i="10"/>
  <c r="L53" i="5"/>
  <c r="M61" i="5"/>
  <c r="J62" i="5"/>
  <c r="J63" i="5" s="1"/>
  <c r="J5" i="7" s="1"/>
  <c r="J34" i="12"/>
  <c r="J11" i="11"/>
  <c r="F44" i="12"/>
  <c r="B44" i="12"/>
  <c r="D28" i="11"/>
  <c r="B45" i="12" s="1"/>
  <c r="N18" i="5"/>
  <c r="M20" i="5"/>
  <c r="M19" i="5"/>
  <c r="J7" i="13"/>
  <c r="J6" i="12"/>
  <c r="J10" i="6"/>
  <c r="I40" i="12"/>
  <c r="I36" i="12"/>
  <c r="I38" i="12" s="1"/>
  <c r="H8" i="7"/>
  <c r="I11" i="12"/>
  <c r="I9" i="6"/>
  <c r="I11" i="6" s="1"/>
  <c r="I7" i="7"/>
  <c r="K7" i="11" s="1"/>
  <c r="H13" i="6" l="1"/>
  <c r="N40" i="5"/>
  <c r="N41" i="5"/>
  <c r="N21" i="12" s="1"/>
  <c r="M18" i="12"/>
  <c r="M56" i="5"/>
  <c r="M57" i="5" s="1"/>
  <c r="M54" i="5"/>
  <c r="M23" i="12" s="1"/>
  <c r="C8" i="13"/>
  <c r="D8" i="13" s="1"/>
  <c r="E8" i="13" s="1"/>
  <c r="F8" i="13" s="1"/>
  <c r="G8" i="13" s="1"/>
  <c r="O22" i="12"/>
  <c r="O50" i="5"/>
  <c r="P48" i="5"/>
  <c r="P49" i="5"/>
  <c r="I8" i="7"/>
  <c r="K62" i="5"/>
  <c r="K63" i="5" s="1"/>
  <c r="K5" i="7" s="1"/>
  <c r="K34" i="12"/>
  <c r="G34" i="10"/>
  <c r="G13" i="8"/>
  <c r="G16" i="8" s="1"/>
  <c r="J8" i="12"/>
  <c r="N19" i="5"/>
  <c r="N20" i="5" s="1"/>
  <c r="M6" i="13"/>
  <c r="M9" i="12"/>
  <c r="M6" i="7"/>
  <c r="K66" i="5"/>
  <c r="K28" i="12"/>
  <c r="O51" i="5"/>
  <c r="N52" i="5"/>
  <c r="N53" i="5" s="1"/>
  <c r="K7" i="13"/>
  <c r="K6" i="12"/>
  <c r="K10" i="6"/>
  <c r="J27" i="11"/>
  <c r="J23" i="11"/>
  <c r="J48" i="10"/>
  <c r="M53" i="5"/>
  <c r="M67" i="5" s="1"/>
  <c r="M19" i="12" s="1"/>
  <c r="L8" i="6"/>
  <c r="L65" i="5"/>
  <c r="J9" i="6"/>
  <c r="J11" i="6" s="1"/>
  <c r="J7" i="7"/>
  <c r="L7" i="11" s="1"/>
  <c r="I12" i="6"/>
  <c r="I16" i="6" s="1"/>
  <c r="I19" i="6" s="1"/>
  <c r="K11" i="11"/>
  <c r="O29" i="5"/>
  <c r="O28" i="5"/>
  <c r="N31" i="5"/>
  <c r="N27" i="5"/>
  <c r="H18" i="7"/>
  <c r="H9" i="7"/>
  <c r="J3" i="13"/>
  <c r="J7" i="12"/>
  <c r="L6" i="11"/>
  <c r="L11" i="11" s="1"/>
  <c r="J19" i="7"/>
  <c r="J5" i="6"/>
  <c r="J8" i="7"/>
  <c r="J18" i="7" s="1"/>
  <c r="J21" i="7" s="1"/>
  <c r="J23" i="7" s="1"/>
  <c r="J25" i="7" s="1"/>
  <c r="J4" i="13" s="1"/>
  <c r="M7" i="6"/>
  <c r="M64" i="5"/>
  <c r="M23" i="5"/>
  <c r="M21" i="5"/>
  <c r="M17" i="12" s="1"/>
  <c r="B60" i="12" s="1"/>
  <c r="J40" i="12"/>
  <c r="J36" i="12"/>
  <c r="J38" i="12" s="1"/>
  <c r="C5" i="13"/>
  <c r="C43" i="12"/>
  <c r="F24" i="11"/>
  <c r="F25" i="11" s="1"/>
  <c r="E9" i="8"/>
  <c r="E10" i="8" s="1"/>
  <c r="E18" i="8" s="1"/>
  <c r="E19" i="8" s="1"/>
  <c r="E28" i="11"/>
  <c r="C45" i="12" s="1"/>
  <c r="H20" i="6"/>
  <c r="L60" i="5"/>
  <c r="L24" i="5"/>
  <c r="L6" i="6"/>
  <c r="J37" i="12"/>
  <c r="J33" i="12"/>
  <c r="J39" i="12" s="1"/>
  <c r="N61" i="5"/>
  <c r="F16" i="8"/>
  <c r="K48" i="10" l="1"/>
  <c r="J9" i="7"/>
  <c r="I13" i="6"/>
  <c r="N18" i="12"/>
  <c r="N67" i="5"/>
  <c r="N19" i="12" s="1"/>
  <c r="N6" i="13"/>
  <c r="N9" i="12"/>
  <c r="N10" i="12" s="1"/>
  <c r="N6" i="7"/>
  <c r="L62" i="5"/>
  <c r="L63" i="5" s="1"/>
  <c r="L5" i="7" s="1"/>
  <c r="L34" i="12"/>
  <c r="J26" i="7"/>
  <c r="H44" i="12"/>
  <c r="K37" i="12"/>
  <c r="K33" i="12"/>
  <c r="B54" i="12"/>
  <c r="M10" i="12"/>
  <c r="H34" i="10"/>
  <c r="H13" i="8"/>
  <c r="H16" i="8" s="1"/>
  <c r="I18" i="7"/>
  <c r="I20" i="6" s="1"/>
  <c r="I9" i="7"/>
  <c r="M60" i="5"/>
  <c r="M24" i="5"/>
  <c r="M6" i="6"/>
  <c r="J12" i="6"/>
  <c r="J16" i="6" s="1"/>
  <c r="J19" i="6" s="1"/>
  <c r="J20" i="6" s="1"/>
  <c r="L27" i="11"/>
  <c r="L23" i="11"/>
  <c r="H21" i="7"/>
  <c r="H23" i="7" s="1"/>
  <c r="H19" i="7"/>
  <c r="O31" i="5"/>
  <c r="O27" i="5"/>
  <c r="P28" i="5"/>
  <c r="P29" i="5"/>
  <c r="K9" i="6"/>
  <c r="K11" i="6" s="1"/>
  <c r="K7" i="7"/>
  <c r="M7" i="11" s="1"/>
  <c r="K40" i="12"/>
  <c r="K36" i="12"/>
  <c r="K38" i="12" s="1"/>
  <c r="P22" i="12"/>
  <c r="Q48" i="5"/>
  <c r="Q49" i="5"/>
  <c r="P50" i="5"/>
  <c r="M8" i="6"/>
  <c r="M65" i="5"/>
  <c r="N56" i="5"/>
  <c r="N57" i="5" s="1"/>
  <c r="N54" i="5"/>
  <c r="N23" i="12" s="1"/>
  <c r="K3" i="13"/>
  <c r="K7" i="12"/>
  <c r="M6" i="11"/>
  <c r="K5" i="6"/>
  <c r="K23" i="11"/>
  <c r="K27" i="11"/>
  <c r="L7" i="13"/>
  <c r="L8" i="12"/>
  <c r="L6" i="12"/>
  <c r="L10" i="6"/>
  <c r="D5" i="13"/>
  <c r="D43" i="12"/>
  <c r="G24" i="11"/>
  <c r="G25" i="11" s="1"/>
  <c r="F9" i="8"/>
  <c r="F10" i="8" s="1"/>
  <c r="F18" i="8" s="1"/>
  <c r="F19" i="8" s="1"/>
  <c r="F28" i="11"/>
  <c r="D45" i="12" s="1"/>
  <c r="L28" i="12"/>
  <c r="L66" i="5"/>
  <c r="K8" i="12"/>
  <c r="O52" i="5"/>
  <c r="O53" i="5" s="1"/>
  <c r="P51" i="5"/>
  <c r="N7" i="6"/>
  <c r="N64" i="5"/>
  <c r="N23" i="5"/>
  <c r="N21" i="5"/>
  <c r="N17" i="12" s="1"/>
  <c r="J11" i="12"/>
  <c r="K39" i="12" l="1"/>
  <c r="J13" i="6"/>
  <c r="M62" i="5"/>
  <c r="M63" i="5" s="1"/>
  <c r="M5" i="7" s="1"/>
  <c r="M34" i="12"/>
  <c r="I21" i="7"/>
  <c r="I23" i="7" s="1"/>
  <c r="I25" i="7" s="1"/>
  <c r="I19" i="7"/>
  <c r="L40" i="12"/>
  <c r="L36" i="12"/>
  <c r="L38" i="12" s="1"/>
  <c r="H25" i="7"/>
  <c r="M7" i="13"/>
  <c r="M8" i="12"/>
  <c r="M6" i="12"/>
  <c r="M10" i="6"/>
  <c r="L3" i="13"/>
  <c r="L7" i="12"/>
  <c r="N6" i="11"/>
  <c r="L5" i="6"/>
  <c r="L37" i="12"/>
  <c r="L33" i="12"/>
  <c r="K8" i="7"/>
  <c r="M11" i="11"/>
  <c r="P31" i="5"/>
  <c r="Q28" i="5"/>
  <c r="P27" i="5"/>
  <c r="Q29" i="5"/>
  <c r="L48" i="10"/>
  <c r="N8" i="6"/>
  <c r="N65" i="5"/>
  <c r="E5" i="13"/>
  <c r="E43" i="12"/>
  <c r="G9" i="8"/>
  <c r="G10" i="8" s="1"/>
  <c r="G18" i="8" s="1"/>
  <c r="G19" i="8" s="1"/>
  <c r="H24" i="11"/>
  <c r="H25" i="11" s="1"/>
  <c r="G28" i="11"/>
  <c r="E45" i="12" s="1"/>
  <c r="P52" i="5"/>
  <c r="Q51" i="5"/>
  <c r="N60" i="5"/>
  <c r="N24" i="5"/>
  <c r="N6" i="6"/>
  <c r="O56" i="5"/>
  <c r="O57" i="5" s="1"/>
  <c r="O54" i="5"/>
  <c r="O23" i="12" s="1"/>
  <c r="L9" i="6"/>
  <c r="L11" i="6" s="1"/>
  <c r="L7" i="7"/>
  <c r="N7" i="11" s="1"/>
  <c r="I44" i="12"/>
  <c r="K12" i="6"/>
  <c r="K16" i="6" s="1"/>
  <c r="K19" i="6" s="1"/>
  <c r="L11" i="12"/>
  <c r="M28" i="12"/>
  <c r="M66" i="5"/>
  <c r="Q22" i="12"/>
  <c r="R49" i="5"/>
  <c r="Q50" i="5"/>
  <c r="R48" i="5"/>
  <c r="J44" i="12"/>
  <c r="I34" i="10"/>
  <c r="I13" i="8"/>
  <c r="I16" i="8" s="1"/>
  <c r="K11" i="12"/>
  <c r="L39" i="12" l="1"/>
  <c r="N62" i="5"/>
  <c r="N63" i="5" s="1"/>
  <c r="N5" i="7" s="1"/>
  <c r="N34" i="12"/>
  <c r="P56" i="5"/>
  <c r="P57" i="5" s="1"/>
  <c r="P54" i="5"/>
  <c r="P23" i="12" s="1"/>
  <c r="N11" i="11"/>
  <c r="M40" i="12"/>
  <c r="M36" i="12"/>
  <c r="M38" i="12" s="1"/>
  <c r="B65" i="12" s="1"/>
  <c r="N7" i="13"/>
  <c r="N8" i="12"/>
  <c r="N6" i="12"/>
  <c r="N10" i="6"/>
  <c r="M27" i="11"/>
  <c r="M23" i="11"/>
  <c r="L8" i="7"/>
  <c r="M3" i="13"/>
  <c r="M7" i="12"/>
  <c r="M11" i="12" s="1"/>
  <c r="O6" i="11"/>
  <c r="M5" i="6"/>
  <c r="M37" i="12"/>
  <c r="M33" i="12"/>
  <c r="M48" i="10"/>
  <c r="K18" i="7"/>
  <c r="K20" i="6" s="1"/>
  <c r="K9" i="7"/>
  <c r="R22" i="12"/>
  <c r="S49" i="5"/>
  <c r="S48" i="5"/>
  <c r="R50" i="5"/>
  <c r="R29" i="5"/>
  <c r="Q27" i="5"/>
  <c r="Q31" i="5"/>
  <c r="R28" i="5"/>
  <c r="Q52" i="5"/>
  <c r="R51" i="5"/>
  <c r="L12" i="6"/>
  <c r="L16" i="6" s="1"/>
  <c r="L19" i="6" s="1"/>
  <c r="J34" i="10"/>
  <c r="J13" i="8"/>
  <c r="M9" i="6"/>
  <c r="M11" i="6" s="1"/>
  <c r="M7" i="7"/>
  <c r="O7" i="11" s="1"/>
  <c r="K13" i="6"/>
  <c r="P53" i="5"/>
  <c r="F43" i="12"/>
  <c r="F5" i="13"/>
  <c r="I24" i="11"/>
  <c r="I25" i="11" s="1"/>
  <c r="H9" i="8"/>
  <c r="H10" i="8" s="1"/>
  <c r="H18" i="8" s="1"/>
  <c r="H19" i="8" s="1"/>
  <c r="H28" i="11"/>
  <c r="F45" i="12" s="1"/>
  <c r="N28" i="12"/>
  <c r="N66" i="5"/>
  <c r="H4" i="13"/>
  <c r="H8" i="13" s="1"/>
  <c r="H26" i="7"/>
  <c r="K15" i="8"/>
  <c r="J15" i="8"/>
  <c r="L15" i="8"/>
  <c r="I4" i="13"/>
  <c r="I26" i="7"/>
  <c r="M8" i="7" l="1"/>
  <c r="M18" i="7" s="1"/>
  <c r="M21" i="7" s="1"/>
  <c r="M23" i="7" s="1"/>
  <c r="Q56" i="5"/>
  <c r="Q57" i="5" s="1"/>
  <c r="Q54" i="5"/>
  <c r="Q23" i="12" s="1"/>
  <c r="S22" i="12"/>
  <c r="S50" i="5"/>
  <c r="T48" i="5"/>
  <c r="T49" i="5"/>
  <c r="N9" i="6"/>
  <c r="N11" i="6" s="1"/>
  <c r="N7" i="7"/>
  <c r="P7" i="11" s="1"/>
  <c r="G5" i="13"/>
  <c r="G43" i="12"/>
  <c r="J24" i="11"/>
  <c r="J25" i="11" s="1"/>
  <c r="I9" i="8"/>
  <c r="I10" i="8" s="1"/>
  <c r="I18" i="8" s="1"/>
  <c r="I19" i="8" s="1"/>
  <c r="I28" i="11"/>
  <c r="G45" i="12" s="1"/>
  <c r="L13" i="6"/>
  <c r="L18" i="7"/>
  <c r="L20" i="6" s="1"/>
  <c r="L9" i="7"/>
  <c r="I8" i="13"/>
  <c r="J8" i="13" s="1"/>
  <c r="S29" i="5"/>
  <c r="S28" i="5"/>
  <c r="R31" i="5"/>
  <c r="R27" i="5"/>
  <c r="N37" i="12"/>
  <c r="N33" i="12"/>
  <c r="N39" i="12" s="1"/>
  <c r="J16" i="8"/>
  <c r="S51" i="5"/>
  <c r="R52" i="5"/>
  <c r="R53" i="5" s="1"/>
  <c r="M12" i="6"/>
  <c r="M16" i="6" s="1"/>
  <c r="M19" i="6" s="1"/>
  <c r="M13" i="6"/>
  <c r="N40" i="12"/>
  <c r="N36" i="12"/>
  <c r="N38" i="12" s="1"/>
  <c r="K34" i="10"/>
  <c r="K13" i="8"/>
  <c r="K16" i="8" s="1"/>
  <c r="Q53" i="5"/>
  <c r="K21" i="7"/>
  <c r="K23" i="7" s="1"/>
  <c r="K19" i="7"/>
  <c r="M39" i="12"/>
  <c r="B66" i="12" s="1"/>
  <c r="M9" i="7"/>
  <c r="K44" i="12"/>
  <c r="N27" i="11"/>
  <c r="N23" i="11"/>
  <c r="N3" i="13"/>
  <c r="N7" i="12"/>
  <c r="P6" i="11"/>
  <c r="N5" i="6"/>
  <c r="M19" i="7" l="1"/>
  <c r="N8" i="7"/>
  <c r="N9" i="7" s="1"/>
  <c r="M20" i="6"/>
  <c r="S31" i="5"/>
  <c r="S27" i="5"/>
  <c r="T28" i="5"/>
  <c r="T29" i="5"/>
  <c r="T22" i="12"/>
  <c r="T50" i="5"/>
  <c r="U48" i="5"/>
  <c r="U49" i="5"/>
  <c r="L44" i="12"/>
  <c r="K25" i="7"/>
  <c r="B32" i="7"/>
  <c r="L21" i="7"/>
  <c r="L23" i="7" s="1"/>
  <c r="L25" i="7" s="1"/>
  <c r="L19" i="7"/>
  <c r="L34" i="10"/>
  <c r="L13" i="8"/>
  <c r="L16" i="8" s="1"/>
  <c r="S52" i="5"/>
  <c r="T51" i="5"/>
  <c r="N12" i="6"/>
  <c r="N16" i="6" s="1"/>
  <c r="N13" i="6"/>
  <c r="N11" i="12"/>
  <c r="R56" i="5"/>
  <c r="R57" i="5" s="1"/>
  <c r="R54" i="5"/>
  <c r="R23" i="12" s="1"/>
  <c r="H5" i="13"/>
  <c r="H43" i="12"/>
  <c r="K24" i="11"/>
  <c r="K25" i="11" s="1"/>
  <c r="J9" i="8"/>
  <c r="J10" i="8" s="1"/>
  <c r="J18" i="8" s="1"/>
  <c r="J19" i="8" s="1"/>
  <c r="J28" i="11"/>
  <c r="H45" i="12" s="1"/>
  <c r="S56" i="5" l="1"/>
  <c r="S57" i="5" s="1"/>
  <c r="S54" i="5"/>
  <c r="S23" i="12" s="1"/>
  <c r="M34" i="10"/>
  <c r="M13" i="8"/>
  <c r="I5" i="13"/>
  <c r="I43" i="12"/>
  <c r="K9" i="8"/>
  <c r="K10" i="8" s="1"/>
  <c r="K18" i="8" s="1"/>
  <c r="K19" i="8" s="1"/>
  <c r="L24" i="11"/>
  <c r="L25" i="11" s="1"/>
  <c r="K28" i="11"/>
  <c r="I45" i="12" s="1"/>
  <c r="S53" i="5"/>
  <c r="K4" i="13"/>
  <c r="K8" i="13" s="1"/>
  <c r="K26" i="7"/>
  <c r="N15" i="8"/>
  <c r="M15" i="8"/>
  <c r="U22" i="12"/>
  <c r="V48" i="5"/>
  <c r="V49" i="5"/>
  <c r="U50" i="5"/>
  <c r="T31" i="5"/>
  <c r="U28" i="5"/>
  <c r="T27" i="5"/>
  <c r="U29" i="5"/>
  <c r="U51" i="5"/>
  <c r="T52" i="5"/>
  <c r="L4" i="13"/>
  <c r="L26" i="7"/>
  <c r="C33" i="7"/>
  <c r="M16" i="8" l="1"/>
  <c r="T56" i="5"/>
  <c r="T57" i="5" s="1"/>
  <c r="T54" i="5"/>
  <c r="T23" i="12" s="1"/>
  <c r="L8" i="13"/>
  <c r="V22" i="12"/>
  <c r="W49" i="5"/>
  <c r="W48" i="5"/>
  <c r="V50" i="5"/>
  <c r="N34" i="10"/>
  <c r="N13" i="8"/>
  <c r="N16" i="8" s="1"/>
  <c r="U52" i="5"/>
  <c r="U53" i="5" s="1"/>
  <c r="V51" i="5"/>
  <c r="U31" i="5"/>
  <c r="V28" i="5"/>
  <c r="U27" i="5"/>
  <c r="V29" i="5"/>
  <c r="T53" i="5"/>
  <c r="J43" i="12"/>
  <c r="J5" i="13"/>
  <c r="M24" i="11"/>
  <c r="M25" i="11" s="1"/>
  <c r="L9" i="8"/>
  <c r="L10" i="8" s="1"/>
  <c r="L18" i="8" s="1"/>
  <c r="L19" i="8" s="1"/>
  <c r="L28" i="11"/>
  <c r="J45" i="12" s="1"/>
  <c r="K5" i="13" l="1"/>
  <c r="K43" i="12"/>
  <c r="N24" i="11"/>
  <c r="N25" i="11" s="1"/>
  <c r="M9" i="8"/>
  <c r="M10" i="8" s="1"/>
  <c r="M18" i="8" s="1"/>
  <c r="M19" i="8" s="1"/>
  <c r="M28" i="11"/>
  <c r="K45" i="12" s="1"/>
  <c r="W29" i="5"/>
  <c r="W28" i="5"/>
  <c r="V27" i="5"/>
  <c r="V31" i="5"/>
  <c r="W51" i="5"/>
  <c r="V52" i="5"/>
  <c r="V53" i="5"/>
  <c r="O34" i="10"/>
  <c r="O13" i="8"/>
  <c r="W22" i="12"/>
  <c r="W50" i="5"/>
  <c r="X49" i="5"/>
  <c r="X48" i="5"/>
  <c r="U56" i="5"/>
  <c r="U57" i="5" s="1"/>
  <c r="U54" i="5"/>
  <c r="U23" i="12" s="1"/>
  <c r="V56" i="5" l="1"/>
  <c r="V57" i="5" s="1"/>
  <c r="V54" i="5"/>
  <c r="V23" i="12" s="1"/>
  <c r="L5" i="13"/>
  <c r="L43" i="12"/>
  <c r="O24" i="11"/>
  <c r="N9" i="8"/>
  <c r="N10" i="8" s="1"/>
  <c r="N18" i="8" s="1"/>
  <c r="N19" i="8" s="1"/>
  <c r="N28" i="11"/>
  <c r="L45" i="12" s="1"/>
  <c r="P34" i="10"/>
  <c r="P13" i="8"/>
  <c r="W52" i="5"/>
  <c r="X51" i="5"/>
  <c r="W31" i="5"/>
  <c r="W27" i="5"/>
  <c r="X29" i="5"/>
  <c r="X28" i="5"/>
  <c r="X22" i="12"/>
  <c r="X50" i="5"/>
  <c r="Y48" i="5"/>
  <c r="Y49" i="5"/>
  <c r="W56" i="5" l="1"/>
  <c r="W57" i="5" s="1"/>
  <c r="W54" i="5"/>
  <c r="W23" i="12" s="1"/>
  <c r="W53" i="5"/>
  <c r="Y22" i="12"/>
  <c r="Y50" i="5"/>
  <c r="Z48" i="5"/>
  <c r="Z49" i="5"/>
  <c r="Y51" i="5"/>
  <c r="X52" i="5"/>
  <c r="X53" i="5" s="1"/>
  <c r="X31" i="5"/>
  <c r="Y28" i="5"/>
  <c r="X27" i="5"/>
  <c r="Y29" i="5"/>
  <c r="Q34" i="10"/>
  <c r="Q13" i="8"/>
  <c r="Z51" i="5" l="1"/>
  <c r="Y52" i="5"/>
  <c r="Y53" i="5" s="1"/>
  <c r="Z22" i="12"/>
  <c r="AA49" i="5"/>
  <c r="AA48" i="5"/>
  <c r="Z50" i="5"/>
  <c r="R34" i="10"/>
  <c r="R13" i="8"/>
  <c r="Y31" i="5"/>
  <c r="Z28" i="5"/>
  <c r="Y27" i="5"/>
  <c r="Z29" i="5"/>
  <c r="X56" i="5"/>
  <c r="X57" i="5" s="1"/>
  <c r="X54" i="5"/>
  <c r="X23" i="12" s="1"/>
  <c r="S34" i="10" l="1"/>
  <c r="S13" i="8"/>
  <c r="Y56" i="5"/>
  <c r="Y57" i="5" s="1"/>
  <c r="Y54" i="5"/>
  <c r="Y23" i="12" s="1"/>
  <c r="AA22" i="12"/>
  <c r="AA50" i="5"/>
  <c r="AB48" i="5"/>
  <c r="AB49" i="5"/>
  <c r="AA29" i="5"/>
  <c r="AA28" i="5"/>
  <c r="Z31" i="5"/>
  <c r="Z27" i="5"/>
  <c r="AA51" i="5"/>
  <c r="Z52" i="5"/>
  <c r="T34" i="10" l="1"/>
  <c r="T13" i="8"/>
  <c r="AA31" i="5"/>
  <c r="AA27" i="5"/>
  <c r="AB28" i="5"/>
  <c r="AB29" i="5"/>
  <c r="AB22" i="12"/>
  <c r="AC49" i="5"/>
  <c r="AB50" i="5"/>
  <c r="AC48" i="5"/>
  <c r="Z56" i="5"/>
  <c r="Z57" i="5" s="1"/>
  <c r="Z54" i="5"/>
  <c r="Z23" i="12" s="1"/>
  <c r="AA52" i="5"/>
  <c r="AB51" i="5"/>
  <c r="Z53" i="5"/>
  <c r="AA56" i="5" l="1"/>
  <c r="AA57" i="5" s="1"/>
  <c r="AA54" i="5"/>
  <c r="AA23" i="12" s="1"/>
  <c r="AA53" i="5"/>
  <c r="AC29" i="5"/>
  <c r="AB31" i="5"/>
  <c r="AC28" i="5"/>
  <c r="AB27" i="5"/>
  <c r="AB52" i="5"/>
  <c r="AB53" i="5"/>
  <c r="AC51" i="5"/>
  <c r="AC22" i="12"/>
  <c r="AC50" i="5"/>
  <c r="AD48" i="5"/>
  <c r="AD49" i="5"/>
  <c r="U34" i="10"/>
  <c r="U13" i="8"/>
  <c r="V34" i="10" l="1"/>
  <c r="V13" i="8"/>
  <c r="AD22" i="12"/>
  <c r="AE49" i="5"/>
  <c r="AE48" i="5"/>
  <c r="AD50" i="5"/>
  <c r="AB56" i="5"/>
  <c r="AB57" i="5" s="1"/>
  <c r="AB54" i="5"/>
  <c r="AB23" i="12" s="1"/>
  <c r="AD51" i="5"/>
  <c r="AC52" i="5"/>
  <c r="AC31" i="5"/>
  <c r="AD28" i="5"/>
  <c r="AC27" i="5"/>
  <c r="AD29" i="5"/>
  <c r="AE29" i="5" l="1"/>
  <c r="AE28" i="5"/>
  <c r="AD31" i="5"/>
  <c r="AD27" i="5"/>
  <c r="AC56" i="5"/>
  <c r="AC57" i="5" s="1"/>
  <c r="AC54" i="5"/>
  <c r="AC23" i="12" s="1"/>
  <c r="AE51" i="5"/>
  <c r="AD52" i="5"/>
  <c r="AC53" i="5"/>
  <c r="AE22" i="12"/>
  <c r="AE50" i="5"/>
  <c r="AF48" i="5"/>
  <c r="AF49" i="5"/>
  <c r="W34" i="10"/>
  <c r="W13" i="8"/>
  <c r="AD56" i="5" l="1"/>
  <c r="AD57" i="5" s="1"/>
  <c r="AD54" i="5"/>
  <c r="AD23" i="12" s="1"/>
  <c r="AE52" i="5"/>
  <c r="AF51" i="5"/>
  <c r="X34" i="10"/>
  <c r="X13" i="8"/>
  <c r="AF22" i="12"/>
  <c r="AG48" i="5"/>
  <c r="AG49" i="5"/>
  <c r="AF50" i="5"/>
  <c r="AD53" i="5"/>
  <c r="AE31" i="5"/>
  <c r="AE27" i="5"/>
  <c r="AF28" i="5"/>
  <c r="AF29" i="5"/>
  <c r="Y34" i="10" l="1"/>
  <c r="Y13" i="8"/>
  <c r="AE56" i="5"/>
  <c r="AE57" i="5" s="1"/>
  <c r="AE54" i="5"/>
  <c r="AE23" i="12" s="1"/>
  <c r="AF31" i="5"/>
  <c r="AG28" i="5"/>
  <c r="AF27" i="5"/>
  <c r="AG29" i="5"/>
  <c r="AE53" i="5"/>
  <c r="AG22" i="12"/>
  <c r="AH49" i="5"/>
  <c r="AG50" i="5"/>
  <c r="AH48" i="5"/>
  <c r="AF52" i="5"/>
  <c r="AF53" i="5" s="1"/>
  <c r="AG51" i="5"/>
  <c r="AG52" i="5" l="1"/>
  <c r="AG53" i="5" s="1"/>
  <c r="AH51" i="5"/>
  <c r="AF56" i="5"/>
  <c r="AF57" i="5" s="1"/>
  <c r="AF54" i="5"/>
  <c r="AF23" i="12" s="1"/>
  <c r="AH22" i="12"/>
  <c r="AI49" i="5"/>
  <c r="AI48" i="5"/>
  <c r="AH50" i="5"/>
  <c r="AH29" i="5"/>
  <c r="AH28" i="5"/>
  <c r="AG31" i="5"/>
  <c r="AG27" i="5"/>
  <c r="Z34" i="10"/>
  <c r="Z13" i="8"/>
  <c r="AI51" i="5" l="1"/>
  <c r="AH52" i="5"/>
  <c r="AH53" i="5" s="1"/>
  <c r="AA34" i="10"/>
  <c r="AA13" i="8"/>
  <c r="AI29" i="5"/>
  <c r="AI28" i="5"/>
  <c r="AH31" i="5"/>
  <c r="AH27" i="5"/>
  <c r="AI22" i="12"/>
  <c r="AI50" i="5"/>
  <c r="AJ48" i="5"/>
  <c r="AJ49" i="5"/>
  <c r="AG56" i="5"/>
  <c r="AG57" i="5" s="1"/>
  <c r="AG54" i="5"/>
  <c r="AG23" i="12" s="1"/>
  <c r="AJ22" i="12" l="1"/>
  <c r="AJ50" i="5"/>
  <c r="AK48" i="5"/>
  <c r="AK49" i="5"/>
  <c r="AH56" i="5"/>
  <c r="AH57" i="5" s="1"/>
  <c r="AH54" i="5"/>
  <c r="AH23" i="12" s="1"/>
  <c r="AB34" i="10"/>
  <c r="AB13" i="8"/>
  <c r="AI52" i="5"/>
  <c r="AJ51" i="5"/>
  <c r="AI31" i="5"/>
  <c r="AI27" i="5"/>
  <c r="AJ28" i="5"/>
  <c r="AJ29" i="5"/>
  <c r="AK51" i="5" l="1"/>
  <c r="AJ52" i="5"/>
  <c r="AJ53" i="5" s="1"/>
  <c r="AC34" i="10"/>
  <c r="AC13" i="8"/>
  <c r="AJ31" i="5"/>
  <c r="AK28" i="5"/>
  <c r="AJ27" i="5"/>
  <c r="AK29" i="5"/>
  <c r="AI56" i="5"/>
  <c r="AI57" i="5" s="1"/>
  <c r="AI54" i="5"/>
  <c r="AI23" i="12" s="1"/>
  <c r="AI53" i="5"/>
  <c r="AK22" i="12"/>
  <c r="AK50" i="5"/>
  <c r="AK31" i="5" l="1"/>
  <c r="AK27" i="5"/>
  <c r="AD34" i="10"/>
  <c r="AD13" i="8"/>
  <c r="AJ56" i="5"/>
  <c r="AJ57" i="5" s="1"/>
  <c r="AJ54" i="5"/>
  <c r="AJ23" i="12" s="1"/>
  <c r="AK52" i="5"/>
  <c r="AK53" i="5"/>
  <c r="AK56" i="5" l="1"/>
  <c r="AK57" i="5" s="1"/>
  <c r="AK54" i="5"/>
  <c r="AK23" i="12" s="1"/>
  <c r="AE34" i="10"/>
  <c r="AE13" i="8"/>
  <c r="AF34" i="10" l="1"/>
  <c r="AF13" i="8"/>
  <c r="AG34" i="10" l="1"/>
  <c r="AG13" i="8"/>
  <c r="AH34" i="10" l="1"/>
  <c r="AH13" i="8"/>
  <c r="AI34" i="10" l="1"/>
  <c r="AI13" i="8"/>
  <c r="AJ34" i="10" l="1"/>
  <c r="AJ13" i="8"/>
  <c r="AK34" i="10" l="1"/>
  <c r="AK13" i="8"/>
  <c r="AL34" i="10" l="1"/>
  <c r="AL13" i="8"/>
  <c r="B44" i="10" l="1"/>
  <c r="B46" i="2" s="1"/>
  <c r="AM13" i="8"/>
  <c r="B30" i="7"/>
  <c r="B5" i="2" s="1"/>
  <c r="B34" i="7"/>
  <c r="B53" i="12"/>
  <c r="B51" i="12"/>
  <c r="B61" i="12"/>
  <c r="B31" i="7"/>
  <c r="K46" i="12"/>
  <c r="I46" i="12"/>
  <c r="I47" i="12" s="1"/>
  <c r="B64" i="12"/>
  <c r="B55" i="12"/>
  <c r="B52" i="12"/>
  <c r="B57" i="12"/>
  <c r="B67" i="12" s="1"/>
  <c r="K47" i="12"/>
  <c r="M24" i="7" l="1"/>
  <c r="M46" i="12"/>
  <c r="J46" i="12"/>
  <c r="J47" i="12" s="1"/>
  <c r="F46" i="12"/>
  <c r="F47" i="12" s="1"/>
  <c r="B46" i="12"/>
  <c r="B47" i="12" s="1"/>
  <c r="L46" i="12"/>
  <c r="L47" i="12" s="1"/>
  <c r="H46" i="12"/>
  <c r="H47" i="12" s="1"/>
  <c r="C46" i="12"/>
  <c r="C47" i="12" s="1"/>
  <c r="B35" i="7"/>
  <c r="G46" i="12"/>
  <c r="G47" i="12" s="1"/>
  <c r="D46" i="12"/>
  <c r="D47" i="12" s="1"/>
  <c r="E46" i="12"/>
  <c r="E47" i="12" s="1"/>
  <c r="B56" i="12" l="1"/>
  <c r="B18" i="2"/>
  <c r="M25" i="7"/>
  <c r="O10" i="11"/>
  <c r="O15" i="8" l="1"/>
  <c r="O16" i="8" s="1"/>
  <c r="M4" i="13"/>
  <c r="M8" i="13" s="1"/>
  <c r="M26" i="7"/>
  <c r="O11" i="11"/>
  <c r="N48" i="10"/>
  <c r="O23" i="11" l="1"/>
  <c r="O25" i="11" s="1"/>
  <c r="O27" i="11"/>
  <c r="M44" i="12" l="1"/>
  <c r="O28" i="11"/>
  <c r="M45" i="12" s="1"/>
  <c r="P24" i="11"/>
  <c r="N70" i="5"/>
  <c r="O9" i="8"/>
  <c r="O10" i="8" s="1"/>
  <c r="O18" i="8" s="1"/>
  <c r="O19" i="8" s="1"/>
  <c r="M43" i="12"/>
  <c r="M47" i="12" s="1"/>
  <c r="M5" i="13"/>
  <c r="O34" i="5" l="1"/>
  <c r="O36" i="5" s="1"/>
  <c r="O11" i="5"/>
  <c r="O18" i="5"/>
  <c r="N12" i="7"/>
  <c r="N17" i="7" s="1"/>
  <c r="O38" i="5"/>
  <c r="N24" i="12"/>
  <c r="O13" i="5" l="1"/>
  <c r="O27" i="12"/>
  <c r="O39" i="5"/>
  <c r="O43" i="5" s="1"/>
  <c r="O44" i="5" s="1"/>
  <c r="N18" i="7"/>
  <c r="P8" i="11"/>
  <c r="N18" i="6"/>
  <c r="N19" i="6" s="1"/>
  <c r="N20" i="6" s="1"/>
  <c r="O37" i="5"/>
  <c r="O20" i="12"/>
  <c r="P35" i="5"/>
  <c r="P11" i="11" l="1"/>
  <c r="O48" i="10"/>
  <c r="O41" i="5"/>
  <c r="O21" i="12" s="1"/>
  <c r="N21" i="7"/>
  <c r="N23" i="7" s="1"/>
  <c r="N19" i="7"/>
  <c r="O32" i="12"/>
  <c r="O40" i="5"/>
  <c r="O14" i="5"/>
  <c r="O19" i="5" s="1"/>
  <c r="O15" i="5"/>
  <c r="O17" i="5" s="1"/>
  <c r="O21" i="5"/>
  <c r="O17" i="12" s="1"/>
  <c r="P12" i="5"/>
  <c r="O16" i="12"/>
  <c r="O61" i="5" l="1"/>
  <c r="P23" i="11"/>
  <c r="P25" i="11" s="1"/>
  <c r="P27" i="11"/>
  <c r="O23" i="5"/>
  <c r="O6" i="6" s="1"/>
  <c r="O64" i="5"/>
  <c r="O7" i="6"/>
  <c r="O20" i="5"/>
  <c r="N25" i="7"/>
  <c r="P28" i="11" l="1"/>
  <c r="N45" i="12" s="1"/>
  <c r="N44" i="12"/>
  <c r="O6" i="7"/>
  <c r="O6" i="13"/>
  <c r="O9" i="12"/>
  <c r="O10" i="12" s="1"/>
  <c r="O65" i="5"/>
  <c r="O8" i="6"/>
  <c r="O18" i="12"/>
  <c r="O67" i="5"/>
  <c r="O19" i="12" s="1"/>
  <c r="Q24" i="11"/>
  <c r="P9" i="8"/>
  <c r="P10" i="8" s="1"/>
  <c r="N43" i="12"/>
  <c r="N5" i="13"/>
  <c r="O70" i="5"/>
  <c r="N4" i="13"/>
  <c r="N8" i="13" s="1"/>
  <c r="N26" i="7"/>
  <c r="P15" i="8"/>
  <c r="P16" i="8" s="1"/>
  <c r="O60" i="5"/>
  <c r="O24" i="5"/>
  <c r="O28" i="12" l="1"/>
  <c r="O66" i="5"/>
  <c r="O10" i="6"/>
  <c r="O6" i="12"/>
  <c r="O7" i="13"/>
  <c r="O62" i="5"/>
  <c r="O63" i="5" s="1"/>
  <c r="O5" i="7" s="1"/>
  <c r="O34" i="12"/>
  <c r="O12" i="7"/>
  <c r="O17" i="7" s="1"/>
  <c r="P11" i="5"/>
  <c r="P34" i="5"/>
  <c r="P36" i="5" s="1"/>
  <c r="O24" i="12"/>
  <c r="P18" i="5"/>
  <c r="P38" i="5"/>
  <c r="P18" i="8"/>
  <c r="P19" i="8" s="1"/>
  <c r="P27" i="12" l="1"/>
  <c r="P13" i="5"/>
  <c r="Q6" i="11"/>
  <c r="O8" i="7"/>
  <c r="O18" i="7" s="1"/>
  <c r="O19" i="7" s="1"/>
  <c r="O7" i="12"/>
  <c r="O5" i="6"/>
  <c r="O3" i="13"/>
  <c r="O8" i="12"/>
  <c r="O9" i="6"/>
  <c r="O11" i="6" s="1"/>
  <c r="O7" i="7"/>
  <c r="Q7" i="11" s="1"/>
  <c r="P39" i="5"/>
  <c r="P43" i="5" s="1"/>
  <c r="P44" i="5" s="1"/>
  <c r="O36" i="12"/>
  <c r="O38" i="12" s="1"/>
  <c r="O40" i="12"/>
  <c r="O33" i="12"/>
  <c r="O37" i="12"/>
  <c r="P37" i="5"/>
  <c r="Q35" i="5"/>
  <c r="P41" i="5"/>
  <c r="P21" i="12" s="1"/>
  <c r="P20" i="12"/>
  <c r="O18" i="6"/>
  <c r="Q8" i="11"/>
  <c r="O39" i="12" l="1"/>
  <c r="O9" i="7"/>
  <c r="P15" i="5"/>
  <c r="P17" i="5" s="1"/>
  <c r="P14" i="5"/>
  <c r="P19" i="5" s="1"/>
  <c r="P16" i="12"/>
  <c r="Q12" i="5"/>
  <c r="O21" i="7"/>
  <c r="O23" i="7" s="1"/>
  <c r="Q11" i="11"/>
  <c r="P48" i="10"/>
  <c r="P40" i="5"/>
  <c r="O12" i="6"/>
  <c r="O16" i="6" s="1"/>
  <c r="O19" i="6" s="1"/>
  <c r="O20" i="6" s="1"/>
  <c r="O11" i="12"/>
  <c r="P32" i="12"/>
  <c r="P23" i="5" l="1"/>
  <c r="P64" i="5"/>
  <c r="P7" i="6"/>
  <c r="P20" i="5"/>
  <c r="O13" i="6"/>
  <c r="Q23" i="11"/>
  <c r="Q25" i="11" s="1"/>
  <c r="Q27" i="11"/>
  <c r="P21" i="5"/>
  <c r="P17" i="12" s="1"/>
  <c r="P61" i="5"/>
  <c r="P6" i="6"/>
  <c r="O25" i="7"/>
  <c r="O4" i="13" l="1"/>
  <c r="O8" i="13" s="1"/>
  <c r="Q15" i="8"/>
  <c r="Q16" i="8" s="1"/>
  <c r="O26" i="7"/>
  <c r="P9" i="12"/>
  <c r="P10" i="12" s="1"/>
  <c r="P6" i="7"/>
  <c r="P6" i="13"/>
  <c r="P65" i="5"/>
  <c r="P8" i="6"/>
  <c r="P24" i="5"/>
  <c r="P60" i="5"/>
  <c r="R24" i="11"/>
  <c r="O43" i="12"/>
  <c r="Q9" i="8"/>
  <c r="Q10" i="8" s="1"/>
  <c r="Q18" i="8" s="1"/>
  <c r="Q19" i="8" s="1"/>
  <c r="O5" i="13"/>
  <c r="P70" i="5"/>
  <c r="O44" i="12"/>
  <c r="Q28" i="11"/>
  <c r="O45" i="12" s="1"/>
  <c r="P67" i="5"/>
  <c r="P19" i="12" s="1"/>
  <c r="P18" i="12"/>
  <c r="P62" i="5" l="1"/>
  <c r="P63" i="5" s="1"/>
  <c r="P5" i="7" s="1"/>
  <c r="P34" i="12"/>
  <c r="P12" i="7"/>
  <c r="P17" i="7" s="1"/>
  <c r="Q11" i="5"/>
  <c r="Q34" i="5"/>
  <c r="Q36" i="5" s="1"/>
  <c r="P24" i="12"/>
  <c r="Q18" i="5"/>
  <c r="Q38" i="5"/>
  <c r="P28" i="12"/>
  <c r="P66" i="5"/>
  <c r="P10" i="6"/>
  <c r="P6" i="12"/>
  <c r="P7" i="13"/>
  <c r="P8" i="12"/>
  <c r="P9" i="6" l="1"/>
  <c r="P11" i="6" s="1"/>
  <c r="P7" i="7"/>
  <c r="R7" i="11" s="1"/>
  <c r="R8" i="11"/>
  <c r="P18" i="6"/>
  <c r="P33" i="12"/>
  <c r="P39" i="12" s="1"/>
  <c r="P37" i="12"/>
  <c r="Q39" i="5"/>
  <c r="Q43" i="5" s="1"/>
  <c r="Q44" i="5" s="1"/>
  <c r="Q37" i="5"/>
  <c r="Q20" i="12"/>
  <c r="R35" i="5"/>
  <c r="P36" i="12"/>
  <c r="P38" i="12" s="1"/>
  <c r="P40" i="12"/>
  <c r="Q27" i="12"/>
  <c r="Q13" i="5"/>
  <c r="P8" i="7"/>
  <c r="P18" i="7" s="1"/>
  <c r="R6" i="11"/>
  <c r="P3" i="13"/>
  <c r="P7" i="12"/>
  <c r="P5" i="6"/>
  <c r="R11" i="11" l="1"/>
  <c r="Q48" i="10"/>
  <c r="P9" i="7"/>
  <c r="P21" i="7"/>
  <c r="P23" i="7" s="1"/>
  <c r="P12" i="6"/>
  <c r="P16" i="6" s="1"/>
  <c r="P19" i="6" s="1"/>
  <c r="P20" i="6" s="1"/>
  <c r="P13" i="6"/>
  <c r="Q15" i="5"/>
  <c r="Q17" i="5" s="1"/>
  <c r="Q14" i="5"/>
  <c r="Q19" i="5" s="1"/>
  <c r="R12" i="5"/>
  <c r="Q16" i="12"/>
  <c r="Q21" i="5"/>
  <c r="Q17" i="12" s="1"/>
  <c r="P11" i="12"/>
  <c r="P19" i="7"/>
  <c r="Q32" i="12"/>
  <c r="Q41" i="5"/>
  <c r="Q21" i="12" s="1"/>
  <c r="Q40" i="5"/>
  <c r="P25" i="7" l="1"/>
  <c r="Q23" i="5"/>
  <c r="Q64" i="5"/>
  <c r="Q7" i="6"/>
  <c r="Q20" i="5"/>
  <c r="Q61" i="5"/>
  <c r="R23" i="11"/>
  <c r="R25" i="11" s="1"/>
  <c r="R27" i="11"/>
  <c r="Q24" i="5" l="1"/>
  <c r="Q60" i="5"/>
  <c r="R28" i="11"/>
  <c r="P45" i="12" s="1"/>
  <c r="P44" i="12"/>
  <c r="Q6" i="7"/>
  <c r="Q9" i="12"/>
  <c r="Q10" i="12" s="1"/>
  <c r="Q6" i="13"/>
  <c r="Q67" i="5"/>
  <c r="Q19" i="12" s="1"/>
  <c r="Q18" i="12"/>
  <c r="S24" i="11"/>
  <c r="R9" i="8"/>
  <c r="R10" i="8" s="1"/>
  <c r="P43" i="12"/>
  <c r="P5" i="13"/>
  <c r="Q70" i="5"/>
  <c r="Q6" i="6"/>
  <c r="Q65" i="5"/>
  <c r="Q8" i="6"/>
  <c r="P4" i="13"/>
  <c r="P8" i="13" s="1"/>
  <c r="R15" i="8"/>
  <c r="R16" i="8" s="1"/>
  <c r="P26" i="7"/>
  <c r="Q12" i="7" l="1"/>
  <c r="Q17" i="7" s="1"/>
  <c r="R11" i="5"/>
  <c r="R34" i="5"/>
  <c r="R36" i="5" s="1"/>
  <c r="Q24" i="12"/>
  <c r="R18" i="5"/>
  <c r="R38" i="5"/>
  <c r="R18" i="8"/>
  <c r="R19" i="8" s="1"/>
  <c r="Q28" i="12"/>
  <c r="Q66" i="5"/>
  <c r="Q10" i="6"/>
  <c r="Q6" i="12"/>
  <c r="Q7" i="13"/>
  <c r="Q62" i="5"/>
  <c r="Q63" i="5" s="1"/>
  <c r="Q5" i="7" s="1"/>
  <c r="Q34" i="12"/>
  <c r="Q40" i="12" l="1"/>
  <c r="Q36" i="12"/>
  <c r="Q38" i="12" s="1"/>
  <c r="Q9" i="6"/>
  <c r="Q11" i="6" s="1"/>
  <c r="Q7" i="7"/>
  <c r="S7" i="11" s="1"/>
  <c r="R27" i="12"/>
  <c r="R13" i="5"/>
  <c r="S6" i="11"/>
  <c r="Q7" i="12"/>
  <c r="Q5" i="6"/>
  <c r="Q3" i="13"/>
  <c r="R39" i="5"/>
  <c r="R43" i="5" s="1"/>
  <c r="R44" i="5" s="1"/>
  <c r="R37" i="5"/>
  <c r="S35" i="5"/>
  <c r="R20" i="12"/>
  <c r="Q37" i="12"/>
  <c r="Q33" i="12"/>
  <c r="Q39" i="12" s="1"/>
  <c r="Q18" i="6"/>
  <c r="S8" i="11"/>
  <c r="Q8" i="12"/>
  <c r="R41" i="5" l="1"/>
  <c r="R21" i="12" s="1"/>
  <c r="Q8" i="7"/>
  <c r="Q12" i="6"/>
  <c r="Q16" i="6" s="1"/>
  <c r="Q19" i="6" s="1"/>
  <c r="Q13" i="6"/>
  <c r="S11" i="11"/>
  <c r="R48" i="10"/>
  <c r="R40" i="5"/>
  <c r="Q11" i="12"/>
  <c r="R15" i="5"/>
  <c r="R17" i="5" s="1"/>
  <c r="R14" i="5"/>
  <c r="R19" i="5" s="1"/>
  <c r="R16" i="12"/>
  <c r="S12" i="5"/>
  <c r="R32" i="12"/>
  <c r="R23" i="5" l="1"/>
  <c r="R64" i="5"/>
  <c r="R7" i="6"/>
  <c r="R20" i="5"/>
  <c r="Q18" i="7"/>
  <c r="Q9" i="7"/>
  <c r="R61" i="5"/>
  <c r="R6" i="6"/>
  <c r="Q20" i="6"/>
  <c r="R21" i="5"/>
  <c r="R17" i="12" s="1"/>
  <c r="S23" i="11"/>
  <c r="S25" i="11" s="1"/>
  <c r="S27" i="11"/>
  <c r="R67" i="5" l="1"/>
  <c r="R19" i="12" s="1"/>
  <c r="R18" i="12"/>
  <c r="R6" i="7"/>
  <c r="R6" i="13"/>
  <c r="R9" i="12"/>
  <c r="R10" i="12" s="1"/>
  <c r="R65" i="5"/>
  <c r="R8" i="6"/>
  <c r="Q44" i="12"/>
  <c r="S28" i="11"/>
  <c r="Q45" i="12" s="1"/>
  <c r="T24" i="11"/>
  <c r="S9" i="8"/>
  <c r="S10" i="8" s="1"/>
  <c r="Q5" i="13"/>
  <c r="Q43" i="12"/>
  <c r="R70" i="5"/>
  <c r="Q21" i="7"/>
  <c r="Q23" i="7" s="1"/>
  <c r="Q19" i="7"/>
  <c r="R24" i="5"/>
  <c r="R60" i="5"/>
  <c r="R62" i="5" l="1"/>
  <c r="R63" i="5" s="1"/>
  <c r="R5" i="7" s="1"/>
  <c r="R34" i="12"/>
  <c r="Q25" i="7"/>
  <c r="R28" i="12"/>
  <c r="R66" i="5"/>
  <c r="R6" i="12"/>
  <c r="R10" i="6"/>
  <c r="R7" i="13"/>
  <c r="R8" i="12"/>
  <c r="R12" i="7"/>
  <c r="R17" i="7" s="1"/>
  <c r="S11" i="5"/>
  <c r="S34" i="5"/>
  <c r="S36" i="5" s="1"/>
  <c r="R24" i="12"/>
  <c r="S18" i="5"/>
  <c r="S38" i="5"/>
  <c r="T8" i="11" l="1"/>
  <c r="R18" i="6"/>
  <c r="R36" i="12"/>
  <c r="R38" i="12" s="1"/>
  <c r="R40" i="12"/>
  <c r="Q4" i="13"/>
  <c r="Q8" i="13" s="1"/>
  <c r="S15" i="8"/>
  <c r="S16" i="8" s="1"/>
  <c r="S18" i="8" s="1"/>
  <c r="S19" i="8" s="1"/>
  <c r="Q26" i="7"/>
  <c r="S37" i="5"/>
  <c r="S39" i="5" s="1"/>
  <c r="S20" i="12"/>
  <c r="T35" i="5"/>
  <c r="R9" i="6"/>
  <c r="R11" i="6" s="1"/>
  <c r="R7" i="7"/>
  <c r="T7" i="11" s="1"/>
  <c r="S27" i="12"/>
  <c r="S13" i="5"/>
  <c r="R37" i="12"/>
  <c r="R33" i="12"/>
  <c r="R39" i="12" s="1"/>
  <c r="T6" i="11"/>
  <c r="R5" i="6"/>
  <c r="R7" i="12"/>
  <c r="R3" i="13"/>
  <c r="S43" i="5" l="1"/>
  <c r="S44" i="5" s="1"/>
  <c r="S41" i="5"/>
  <c r="S21" i="12" s="1"/>
  <c r="S40" i="5"/>
  <c r="R13" i="6"/>
  <c r="R12" i="6"/>
  <c r="R16" i="6" s="1"/>
  <c r="R19" i="6" s="1"/>
  <c r="R11" i="12"/>
  <c r="R8" i="7"/>
  <c r="S15" i="5"/>
  <c r="S17" i="5" s="1"/>
  <c r="S14" i="5"/>
  <c r="S19" i="5" s="1"/>
  <c r="T12" i="5"/>
  <c r="S16" i="12"/>
  <c r="T11" i="11"/>
  <c r="S48" i="10"/>
  <c r="S32" i="12"/>
  <c r="S23" i="5" l="1"/>
  <c r="S64" i="5"/>
  <c r="S7" i="6"/>
  <c r="S20" i="5"/>
  <c r="S61" i="5"/>
  <c r="S6" i="6"/>
  <c r="T23" i="11"/>
  <c r="T25" i="11" s="1"/>
  <c r="T27" i="11"/>
  <c r="R18" i="7"/>
  <c r="R9" i="7"/>
  <c r="S21" i="5"/>
  <c r="S17" i="12" s="1"/>
  <c r="R20" i="6"/>
  <c r="R21" i="7" l="1"/>
  <c r="R23" i="7" s="1"/>
  <c r="R19" i="7"/>
  <c r="T28" i="11"/>
  <c r="R45" i="12" s="1"/>
  <c r="R44" i="12"/>
  <c r="S65" i="5"/>
  <c r="S8" i="6"/>
  <c r="S67" i="5"/>
  <c r="S19" i="12" s="1"/>
  <c r="S18" i="12"/>
  <c r="U24" i="11"/>
  <c r="T9" i="8"/>
  <c r="T10" i="8" s="1"/>
  <c r="R43" i="12"/>
  <c r="R5" i="13"/>
  <c r="S70" i="5"/>
  <c r="S9" i="12"/>
  <c r="S10" i="12" s="1"/>
  <c r="S6" i="13"/>
  <c r="S6" i="7"/>
  <c r="S24" i="5"/>
  <c r="S60" i="5"/>
  <c r="S12" i="7" l="1"/>
  <c r="S17" i="7" s="1"/>
  <c r="T11" i="5"/>
  <c r="T34" i="5"/>
  <c r="T36" i="5" s="1"/>
  <c r="S24" i="12"/>
  <c r="T18" i="5"/>
  <c r="T38" i="5"/>
  <c r="S28" i="12"/>
  <c r="S66" i="5"/>
  <c r="S10" i="6"/>
  <c r="S6" i="12"/>
  <c r="S8" i="12"/>
  <c r="S7" i="13"/>
  <c r="S62" i="5"/>
  <c r="S63" i="5" s="1"/>
  <c r="S5" i="7" s="1"/>
  <c r="S34" i="12"/>
  <c r="R25" i="7"/>
  <c r="T37" i="5" l="1"/>
  <c r="T20" i="12"/>
  <c r="U35" i="5"/>
  <c r="T39" i="5"/>
  <c r="T43" i="5" s="1"/>
  <c r="T44" i="5" s="1"/>
  <c r="T27" i="12"/>
  <c r="T32" i="12" s="1"/>
  <c r="T13" i="5"/>
  <c r="U6" i="11"/>
  <c r="S5" i="6"/>
  <c r="S7" i="12"/>
  <c r="S3" i="13"/>
  <c r="U8" i="11"/>
  <c r="S18" i="6"/>
  <c r="S37" i="12"/>
  <c r="S33" i="12"/>
  <c r="S36" i="12"/>
  <c r="S38" i="12" s="1"/>
  <c r="S40" i="12"/>
  <c r="R4" i="13"/>
  <c r="R8" i="13" s="1"/>
  <c r="R26" i="7"/>
  <c r="T15" i="8"/>
  <c r="T16" i="8" s="1"/>
  <c r="T18" i="8" s="1"/>
  <c r="T19" i="8" s="1"/>
  <c r="S9" i="6"/>
  <c r="S11" i="6" s="1"/>
  <c r="S7" i="7"/>
  <c r="U7" i="11" s="1"/>
  <c r="S11" i="12" l="1"/>
  <c r="S8" i="7"/>
  <c r="T40" i="5"/>
  <c r="U11" i="11"/>
  <c r="T48" i="10"/>
  <c r="T41" i="5"/>
  <c r="T21" i="12" s="1"/>
  <c r="S39" i="12"/>
  <c r="S12" i="6"/>
  <c r="S16" i="6" s="1"/>
  <c r="S19" i="6" s="1"/>
  <c r="S13" i="6"/>
  <c r="T15" i="5"/>
  <c r="T17" i="5" s="1"/>
  <c r="T14" i="5"/>
  <c r="T19" i="5" s="1"/>
  <c r="T21" i="5"/>
  <c r="T17" i="12" s="1"/>
  <c r="T16" i="12"/>
  <c r="U12" i="5"/>
  <c r="S18" i="7" l="1"/>
  <c r="S9" i="7"/>
  <c r="T61" i="5"/>
  <c r="U23" i="11"/>
  <c r="U25" i="11" s="1"/>
  <c r="U27" i="11"/>
  <c r="T23" i="5"/>
  <c r="T64" i="5"/>
  <c r="T7" i="6"/>
  <c r="T20" i="5"/>
  <c r="T67" i="5" l="1"/>
  <c r="T19" i="12" s="1"/>
  <c r="T18" i="12"/>
  <c r="S44" i="12"/>
  <c r="U28" i="11"/>
  <c r="S45" i="12" s="1"/>
  <c r="V24" i="11"/>
  <c r="U9" i="8"/>
  <c r="U10" i="8" s="1"/>
  <c r="S43" i="12"/>
  <c r="S5" i="13"/>
  <c r="T70" i="5"/>
  <c r="T65" i="5"/>
  <c r="T8" i="6"/>
  <c r="T6" i="7"/>
  <c r="T6" i="13"/>
  <c r="T9" i="12"/>
  <c r="T10" i="12" s="1"/>
  <c r="S21" i="7"/>
  <c r="S23" i="7" s="1"/>
  <c r="S25" i="7" s="1"/>
  <c r="S19" i="7"/>
  <c r="T24" i="5"/>
  <c r="T60" i="5"/>
  <c r="T6" i="6"/>
  <c r="S20" i="6"/>
  <c r="S4" i="13" l="1"/>
  <c r="S8" i="13" s="1"/>
  <c r="U15" i="8"/>
  <c r="U16" i="8" s="1"/>
  <c r="S26" i="7"/>
  <c r="T10" i="6"/>
  <c r="T7" i="13"/>
  <c r="T6" i="12"/>
  <c r="T62" i="5"/>
  <c r="T63" i="5" s="1"/>
  <c r="T5" i="7" s="1"/>
  <c r="T34" i="12"/>
  <c r="T28" i="12"/>
  <c r="T66" i="5"/>
  <c r="U18" i="8"/>
  <c r="U19" i="8" s="1"/>
  <c r="T12" i="7"/>
  <c r="T17" i="7" s="1"/>
  <c r="U11" i="5"/>
  <c r="U34" i="5"/>
  <c r="U36" i="5" s="1"/>
  <c r="T24" i="12"/>
  <c r="U38" i="5"/>
  <c r="U18" i="5"/>
  <c r="T37" i="12" l="1"/>
  <c r="T33" i="12"/>
  <c r="U27" i="12"/>
  <c r="U32" i="12" s="1"/>
  <c r="U13" i="5"/>
  <c r="T8" i="7"/>
  <c r="T18" i="7" s="1"/>
  <c r="T21" i="7" s="1"/>
  <c r="T23" i="7" s="1"/>
  <c r="T25" i="7" s="1"/>
  <c r="V6" i="11"/>
  <c r="T7" i="12"/>
  <c r="T3" i="13"/>
  <c r="T5" i="6"/>
  <c r="T26" i="7"/>
  <c r="T18" i="6"/>
  <c r="V8" i="11"/>
  <c r="T9" i="6"/>
  <c r="T11" i="6" s="1"/>
  <c r="T7" i="7"/>
  <c r="V7" i="11" s="1"/>
  <c r="U37" i="5"/>
  <c r="U39" i="5" s="1"/>
  <c r="V35" i="5"/>
  <c r="U20" i="12"/>
  <c r="T40" i="12"/>
  <c r="T36" i="12"/>
  <c r="T38" i="12" s="1"/>
  <c r="T8" i="12"/>
  <c r="U43" i="5" l="1"/>
  <c r="U44" i="5" s="1"/>
  <c r="U40" i="5"/>
  <c r="U41" i="5"/>
  <c r="U21" i="12" s="1"/>
  <c r="T4" i="13"/>
  <c r="T8" i="13" s="1"/>
  <c r="V15" i="8"/>
  <c r="V16" i="8" s="1"/>
  <c r="T9" i="7"/>
  <c r="T19" i="7"/>
  <c r="U15" i="5"/>
  <c r="U17" i="5" s="1"/>
  <c r="U14" i="5"/>
  <c r="U19" i="5" s="1"/>
  <c r="U16" i="12"/>
  <c r="V12" i="5"/>
  <c r="T11" i="12"/>
  <c r="T12" i="6"/>
  <c r="T16" i="6" s="1"/>
  <c r="T19" i="6" s="1"/>
  <c r="T20" i="6" s="1"/>
  <c r="V11" i="11"/>
  <c r="U48" i="10"/>
  <c r="T39" i="12"/>
  <c r="V23" i="11" l="1"/>
  <c r="V25" i="11" s="1"/>
  <c r="V27" i="11"/>
  <c r="U64" i="5"/>
  <c r="U23" i="5"/>
  <c r="U6" i="6" s="1"/>
  <c r="U7" i="6"/>
  <c r="U20" i="5"/>
  <c r="T13" i="6"/>
  <c r="U61" i="5"/>
  <c r="U21" i="5"/>
  <c r="U17" i="12" s="1"/>
  <c r="U65" i="5" l="1"/>
  <c r="U8" i="6"/>
  <c r="U18" i="12"/>
  <c r="U67" i="5"/>
  <c r="U19" i="12" s="1"/>
  <c r="T44" i="12"/>
  <c r="V28" i="11"/>
  <c r="T45" i="12" s="1"/>
  <c r="U9" i="12"/>
  <c r="U10" i="12" s="1"/>
  <c r="U6" i="13"/>
  <c r="U6" i="7"/>
  <c r="W24" i="11"/>
  <c r="T43" i="12"/>
  <c r="T5" i="13"/>
  <c r="V9" i="8"/>
  <c r="V10" i="8" s="1"/>
  <c r="V18" i="8" s="1"/>
  <c r="V19" i="8" s="1"/>
  <c r="U70" i="5"/>
  <c r="U24" i="5"/>
  <c r="U60" i="5"/>
  <c r="U10" i="6" l="1"/>
  <c r="U7" i="13"/>
  <c r="U6" i="12"/>
  <c r="U8" i="12"/>
  <c r="U28" i="12"/>
  <c r="U66" i="5"/>
  <c r="U12" i="7"/>
  <c r="U17" i="7" s="1"/>
  <c r="V34" i="5"/>
  <c r="V36" i="5" s="1"/>
  <c r="U24" i="12"/>
  <c r="V11" i="5"/>
  <c r="V18" i="5"/>
  <c r="V38" i="5"/>
  <c r="U62" i="5"/>
  <c r="U63" i="5" s="1"/>
  <c r="U5" i="7" s="1"/>
  <c r="U34" i="12"/>
  <c r="W8" i="11" l="1"/>
  <c r="U18" i="6"/>
  <c r="W6" i="11"/>
  <c r="U7" i="12"/>
  <c r="U5" i="6"/>
  <c r="U3" i="13"/>
  <c r="U9" i="6"/>
  <c r="U11" i="6" s="1"/>
  <c r="U7" i="7"/>
  <c r="W7" i="11" s="1"/>
  <c r="U36" i="12"/>
  <c r="U38" i="12" s="1"/>
  <c r="U40" i="12"/>
  <c r="V27" i="12"/>
  <c r="V32" i="12" s="1"/>
  <c r="V13" i="5"/>
  <c r="V37" i="5"/>
  <c r="V39" i="5" s="1"/>
  <c r="V20" i="12"/>
  <c r="W35" i="5"/>
  <c r="U37" i="12"/>
  <c r="U33" i="12"/>
  <c r="V43" i="5" l="1"/>
  <c r="V44" i="5" s="1"/>
  <c r="V40" i="5"/>
  <c r="V41" i="5"/>
  <c r="V21" i="12" s="1"/>
  <c r="U12" i="6"/>
  <c r="U16" i="6" s="1"/>
  <c r="U19" i="6" s="1"/>
  <c r="U8" i="7"/>
  <c r="U39" i="12"/>
  <c r="U11" i="12"/>
  <c r="V15" i="5"/>
  <c r="V17" i="5" s="1"/>
  <c r="V14" i="5"/>
  <c r="V19" i="5" s="1"/>
  <c r="V21" i="5" s="1"/>
  <c r="V17" i="12" s="1"/>
  <c r="W12" i="5"/>
  <c r="V16" i="12"/>
  <c r="W11" i="11"/>
  <c r="V48" i="10"/>
  <c r="V61" i="5" l="1"/>
  <c r="V6" i="6"/>
  <c r="U18" i="7"/>
  <c r="U9" i="7"/>
  <c r="V23" i="5"/>
  <c r="V7" i="6"/>
  <c r="V64" i="5"/>
  <c r="V20" i="5"/>
  <c r="W23" i="11"/>
  <c r="W25" i="11" s="1"/>
  <c r="W27" i="11"/>
  <c r="U13" i="6"/>
  <c r="X24" i="11" l="1"/>
  <c r="U43" i="12"/>
  <c r="W9" i="8"/>
  <c r="W10" i="8" s="1"/>
  <c r="U5" i="13"/>
  <c r="V70" i="5"/>
  <c r="V24" i="5"/>
  <c r="V60" i="5"/>
  <c r="V67" i="5"/>
  <c r="V19" i="12" s="1"/>
  <c r="V18" i="12"/>
  <c r="V6" i="13"/>
  <c r="V6" i="7"/>
  <c r="V9" i="12"/>
  <c r="V10" i="12" s="1"/>
  <c r="U44" i="12"/>
  <c r="W28" i="11"/>
  <c r="U45" i="12" s="1"/>
  <c r="V65" i="5"/>
  <c r="V8" i="6"/>
  <c r="U21" i="7"/>
  <c r="U23" i="7" s="1"/>
  <c r="U25" i="7" s="1"/>
  <c r="U19" i="7"/>
  <c r="U20" i="6"/>
  <c r="U4" i="13" l="1"/>
  <c r="U8" i="13" s="1"/>
  <c r="W15" i="8"/>
  <c r="W16" i="8" s="1"/>
  <c r="U26" i="7"/>
  <c r="V6" i="12"/>
  <c r="V10" i="6"/>
  <c r="V7" i="13"/>
  <c r="W18" i="8"/>
  <c r="W19" i="8" s="1"/>
  <c r="V28" i="12"/>
  <c r="V66" i="5"/>
  <c r="V62" i="5"/>
  <c r="V63" i="5" s="1"/>
  <c r="V5" i="7" s="1"/>
  <c r="V34" i="12"/>
  <c r="V12" i="7"/>
  <c r="V17" i="7" s="1"/>
  <c r="V24" i="12"/>
  <c r="W11" i="5"/>
  <c r="W34" i="5"/>
  <c r="W36" i="5" s="1"/>
  <c r="W18" i="5"/>
  <c r="W38" i="5"/>
  <c r="X6" i="11" l="1"/>
  <c r="V3" i="13"/>
  <c r="V5" i="6"/>
  <c r="V7" i="12"/>
  <c r="V9" i="6"/>
  <c r="V11" i="6" s="1"/>
  <c r="V7" i="7"/>
  <c r="X7" i="11" s="1"/>
  <c r="V8" i="12"/>
  <c r="W27" i="12"/>
  <c r="W32" i="12" s="1"/>
  <c r="W13" i="5"/>
  <c r="X35" i="5"/>
  <c r="W37" i="5"/>
  <c r="W39" i="5" s="1"/>
  <c r="W20" i="12"/>
  <c r="X8" i="11"/>
  <c r="V18" i="6"/>
  <c r="V33" i="12"/>
  <c r="V39" i="12" s="1"/>
  <c r="V37" i="12"/>
  <c r="V36" i="12"/>
  <c r="V38" i="12" s="1"/>
  <c r="V40" i="12"/>
  <c r="W43" i="5" l="1"/>
  <c r="W44" i="5" s="1"/>
  <c r="W40" i="5"/>
  <c r="W41" i="5"/>
  <c r="W21" i="12" s="1"/>
  <c r="W15" i="5"/>
  <c r="W17" i="5" s="1"/>
  <c r="W14" i="5"/>
  <c r="W19" i="5" s="1"/>
  <c r="W21" i="5"/>
  <c r="W17" i="12" s="1"/>
  <c r="X12" i="5"/>
  <c r="W16" i="12"/>
  <c r="V11" i="12"/>
  <c r="V12" i="6"/>
  <c r="V16" i="6" s="1"/>
  <c r="V19" i="6" s="1"/>
  <c r="V13" i="6"/>
  <c r="X11" i="11"/>
  <c r="W48" i="10"/>
  <c r="V8" i="7"/>
  <c r="W61" i="5" l="1"/>
  <c r="W6" i="6"/>
  <c r="X23" i="11"/>
  <c r="X25" i="11" s="1"/>
  <c r="X27" i="11"/>
  <c r="V18" i="7"/>
  <c r="V9" i="7"/>
  <c r="W23" i="5"/>
  <c r="W64" i="5"/>
  <c r="W7" i="6"/>
  <c r="W20" i="5"/>
  <c r="W65" i="5" l="1"/>
  <c r="W8" i="6"/>
  <c r="V21" i="7"/>
  <c r="V23" i="7" s="1"/>
  <c r="V25" i="7" s="1"/>
  <c r="V19" i="7"/>
  <c r="W6" i="7"/>
  <c r="W9" i="12"/>
  <c r="W10" i="12" s="1"/>
  <c r="W6" i="13"/>
  <c r="W24" i="5"/>
  <c r="W60" i="5"/>
  <c r="X28" i="11"/>
  <c r="V45" i="12" s="1"/>
  <c r="V44" i="12"/>
  <c r="W67" i="5"/>
  <c r="W19" i="12" s="1"/>
  <c r="W18" i="12"/>
  <c r="V20" i="6"/>
  <c r="Y24" i="11"/>
  <c r="X9" i="8"/>
  <c r="X10" i="8" s="1"/>
  <c r="V5" i="13"/>
  <c r="V43" i="12"/>
  <c r="W70" i="5"/>
  <c r="W10" i="6" l="1"/>
  <c r="W6" i="12"/>
  <c r="W7" i="13"/>
  <c r="V4" i="13"/>
  <c r="V8" i="13" s="1"/>
  <c r="X15" i="8"/>
  <c r="X16" i="8" s="1"/>
  <c r="X18" i="8" s="1"/>
  <c r="X19" i="8" s="1"/>
  <c r="V26" i="7"/>
  <c r="X11" i="5"/>
  <c r="X34" i="5"/>
  <c r="X36" i="5" s="1"/>
  <c r="W24" i="12"/>
  <c r="W12" i="7"/>
  <c r="W17" i="7" s="1"/>
  <c r="X18" i="5"/>
  <c r="X38" i="5"/>
  <c r="W62" i="5"/>
  <c r="W63" i="5" s="1"/>
  <c r="W5" i="7" s="1"/>
  <c r="W34" i="12"/>
  <c r="W28" i="12"/>
  <c r="W66" i="5"/>
  <c r="Y8" i="11" l="1"/>
  <c r="W18" i="6"/>
  <c r="X27" i="12"/>
  <c r="X32" i="12" s="1"/>
  <c r="X13" i="5"/>
  <c r="W8" i="12"/>
  <c r="W9" i="6"/>
  <c r="W11" i="6" s="1"/>
  <c r="W7" i="7"/>
  <c r="Y7" i="11" s="1"/>
  <c r="W33" i="12"/>
  <c r="W39" i="12" s="1"/>
  <c r="W37" i="12"/>
  <c r="X37" i="5"/>
  <c r="X39" i="5" s="1"/>
  <c r="X20" i="12"/>
  <c r="Y35" i="5"/>
  <c r="W36" i="12"/>
  <c r="W38" i="12" s="1"/>
  <c r="W40" i="12"/>
  <c r="W7" i="12"/>
  <c r="W3" i="13"/>
  <c r="W5" i="6"/>
  <c r="Y6" i="11"/>
  <c r="X43" i="5" l="1"/>
  <c r="X44" i="5" s="1"/>
  <c r="X40" i="5"/>
  <c r="X41" i="5"/>
  <c r="X21" i="12" s="1"/>
  <c r="Y11" i="11"/>
  <c r="X48" i="10"/>
  <c r="X14" i="5"/>
  <c r="X19" i="5" s="1"/>
  <c r="X15" i="5"/>
  <c r="X17" i="5" s="1"/>
  <c r="Y12" i="5"/>
  <c r="X16" i="12"/>
  <c r="X21" i="5"/>
  <c r="X17" i="12" s="1"/>
  <c r="W12" i="6"/>
  <c r="W16" i="6" s="1"/>
  <c r="W19" i="6" s="1"/>
  <c r="W11" i="12"/>
  <c r="W8" i="7"/>
  <c r="Y23" i="11" l="1"/>
  <c r="Y25" i="11" s="1"/>
  <c r="Y27" i="11"/>
  <c r="X61" i="5"/>
  <c r="W18" i="7"/>
  <c r="W9" i="7"/>
  <c r="W13" i="6"/>
  <c r="X23" i="5"/>
  <c r="X64" i="5"/>
  <c r="X7" i="6"/>
  <c r="X20" i="5"/>
  <c r="W20" i="6"/>
  <c r="X67" i="5" l="1"/>
  <c r="X19" i="12" s="1"/>
  <c r="X18" i="12"/>
  <c r="X9" i="12"/>
  <c r="X10" i="12" s="1"/>
  <c r="X6" i="7"/>
  <c r="X6" i="13"/>
  <c r="X65" i="5"/>
  <c r="X8" i="6"/>
  <c r="W21" i="7"/>
  <c r="W23" i="7" s="1"/>
  <c r="W25" i="7" s="1"/>
  <c r="W19" i="7"/>
  <c r="W44" i="12"/>
  <c r="Y28" i="11"/>
  <c r="W45" i="12" s="1"/>
  <c r="X60" i="5"/>
  <c r="X24" i="5"/>
  <c r="X6" i="6"/>
  <c r="Z24" i="11"/>
  <c r="Y9" i="8"/>
  <c r="Y10" i="8" s="1"/>
  <c r="W5" i="13"/>
  <c r="W43" i="12"/>
  <c r="X70" i="5"/>
  <c r="Y11" i="5" l="1"/>
  <c r="X12" i="7"/>
  <c r="X17" i="7" s="1"/>
  <c r="Y34" i="5"/>
  <c r="Y36" i="5" s="1"/>
  <c r="X24" i="12"/>
  <c r="Y38" i="5"/>
  <c r="Y18" i="5"/>
  <c r="X62" i="5"/>
  <c r="X63" i="5" s="1"/>
  <c r="X5" i="7" s="1"/>
  <c r="X34" i="12"/>
  <c r="X28" i="12"/>
  <c r="X66" i="5"/>
  <c r="X10" i="6"/>
  <c r="X6" i="12"/>
  <c r="X8" i="12"/>
  <c r="X7" i="13"/>
  <c r="W4" i="13"/>
  <c r="W8" i="13" s="1"/>
  <c r="Y15" i="8"/>
  <c r="Y16" i="8" s="1"/>
  <c r="Y18" i="8" s="1"/>
  <c r="Y19" i="8" s="1"/>
  <c r="W26" i="7"/>
  <c r="X36" i="12" l="1"/>
  <c r="X38" i="12" s="1"/>
  <c r="X40" i="12"/>
  <c r="X9" i="6"/>
  <c r="X11" i="6" s="1"/>
  <c r="X7" i="7"/>
  <c r="Z7" i="11" s="1"/>
  <c r="Y37" i="5"/>
  <c r="Y20" i="12"/>
  <c r="Z35" i="5"/>
  <c r="Y39" i="5"/>
  <c r="Y43" i="5" s="1"/>
  <c r="Y44" i="5" s="1"/>
  <c r="Z8" i="11"/>
  <c r="X18" i="6"/>
  <c r="X33" i="12"/>
  <c r="X37" i="12"/>
  <c r="Z6" i="11"/>
  <c r="X3" i="13"/>
  <c r="X7" i="12"/>
  <c r="X5" i="6"/>
  <c r="Y27" i="12"/>
  <c r="Y32" i="12" s="1"/>
  <c r="Y13" i="5"/>
  <c r="Z11" i="11" l="1"/>
  <c r="Y48" i="10"/>
  <c r="Y15" i="5"/>
  <c r="Y17" i="5" s="1"/>
  <c r="Y14" i="5"/>
  <c r="Y19" i="5" s="1"/>
  <c r="Y16" i="12"/>
  <c r="C59" i="12" s="1"/>
  <c r="Z12" i="5"/>
  <c r="Y40" i="5"/>
  <c r="X11" i="12"/>
  <c r="X12" i="6"/>
  <c r="X16" i="6" s="1"/>
  <c r="X19" i="6" s="1"/>
  <c r="X8" i="7"/>
  <c r="X39" i="12"/>
  <c r="Y41" i="5"/>
  <c r="Y21" i="12" s="1"/>
  <c r="Y23" i="5" l="1"/>
  <c r="Y64" i="5"/>
  <c r="Y7" i="6"/>
  <c r="Y20" i="5"/>
  <c r="Z23" i="11"/>
  <c r="Z25" i="11" s="1"/>
  <c r="Z27" i="11"/>
  <c r="X18" i="7"/>
  <c r="X9" i="7"/>
  <c r="Y21" i="5"/>
  <c r="Y17" i="12" s="1"/>
  <c r="C60" i="12" s="1"/>
  <c r="Y61" i="5"/>
  <c r="Y6" i="6"/>
  <c r="X20" i="6"/>
  <c r="X13" i="6"/>
  <c r="X21" i="7" l="1"/>
  <c r="X23" i="7" s="1"/>
  <c r="X25" i="7" s="1"/>
  <c r="X19" i="7"/>
  <c r="Y67" i="5"/>
  <c r="Y19" i="12" s="1"/>
  <c r="Y18" i="12"/>
  <c r="Y6" i="7"/>
  <c r="Y6" i="13"/>
  <c r="Y9" i="12"/>
  <c r="X44" i="12"/>
  <c r="Z28" i="11"/>
  <c r="X45" i="12" s="1"/>
  <c r="Y65" i="5"/>
  <c r="Y8" i="6"/>
  <c r="AA24" i="11"/>
  <c r="Z9" i="8"/>
  <c r="Z10" i="8" s="1"/>
  <c r="X43" i="12"/>
  <c r="X5" i="13"/>
  <c r="Y70" i="5"/>
  <c r="Y24" i="5"/>
  <c r="Y60" i="5"/>
  <c r="X4" i="13" l="1"/>
  <c r="X8" i="13" s="1"/>
  <c r="Z15" i="8"/>
  <c r="Z16" i="8" s="1"/>
  <c r="X26" i="7"/>
  <c r="Y28" i="12"/>
  <c r="Y66" i="5"/>
  <c r="Y10" i="12"/>
  <c r="C54" i="12"/>
  <c r="Y10" i="6"/>
  <c r="Y6" i="12"/>
  <c r="Y8" i="12"/>
  <c r="Y7" i="13"/>
  <c r="Y62" i="5"/>
  <c r="Y63" i="5" s="1"/>
  <c r="Y5" i="7" s="1"/>
  <c r="Y34" i="12"/>
  <c r="Z18" i="8"/>
  <c r="Z19" i="8" s="1"/>
  <c r="Z11" i="5"/>
  <c r="Z34" i="5"/>
  <c r="Z36" i="5" s="1"/>
  <c r="Y12" i="7"/>
  <c r="Y17" i="7" s="1"/>
  <c r="Y24" i="12"/>
  <c r="Z38" i="5"/>
  <c r="Z18" i="5"/>
  <c r="Y36" i="12" l="1"/>
  <c r="Y38" i="12" s="1"/>
  <c r="C65" i="12" s="1"/>
  <c r="Y40" i="12"/>
  <c r="Z27" i="12"/>
  <c r="Z13" i="5"/>
  <c r="Y18" i="6"/>
  <c r="AA8" i="11"/>
  <c r="Y9" i="6"/>
  <c r="Y11" i="6" s="1"/>
  <c r="Y7" i="7"/>
  <c r="AA7" i="11" s="1"/>
  <c r="Z37" i="5"/>
  <c r="Z39" i="5" s="1"/>
  <c r="AA35" i="5"/>
  <c r="Z20" i="12"/>
  <c r="Y8" i="7"/>
  <c r="Y18" i="7" s="1"/>
  <c r="Y21" i="7" s="1"/>
  <c r="Y23" i="7" s="1"/>
  <c r="AA6" i="11"/>
  <c r="Y9" i="7"/>
  <c r="Y3" i="13"/>
  <c r="Y7" i="12"/>
  <c r="Y5" i="6"/>
  <c r="Y19" i="7"/>
  <c r="Y37" i="12"/>
  <c r="Y33" i="12"/>
  <c r="Y39" i="12" s="1"/>
  <c r="C66" i="12" s="1"/>
  <c r="Z43" i="5" l="1"/>
  <c r="Z44" i="5" s="1"/>
  <c r="Z41" i="5"/>
  <c r="Z21" i="12" s="1"/>
  <c r="Z40" i="5"/>
  <c r="Y12" i="6"/>
  <c r="Y16" i="6" s="1"/>
  <c r="Y19" i="6" s="1"/>
  <c r="Y20" i="6" s="1"/>
  <c r="Z15" i="5"/>
  <c r="Z17" i="5" s="1"/>
  <c r="Z14" i="5"/>
  <c r="Z19" i="5" s="1"/>
  <c r="AA12" i="5"/>
  <c r="Z16" i="12"/>
  <c r="Z32" i="12"/>
  <c r="Y11" i="12"/>
  <c r="Z23" i="5" l="1"/>
  <c r="Z64" i="5"/>
  <c r="Z7" i="6"/>
  <c r="Z20" i="5"/>
  <c r="Z61" i="5"/>
  <c r="Z6" i="6"/>
  <c r="Z21" i="5"/>
  <c r="Z17" i="12" s="1"/>
  <c r="Y13" i="6"/>
  <c r="Z67" i="5" l="1"/>
  <c r="Z19" i="12" s="1"/>
  <c r="Z18" i="12"/>
  <c r="Z24" i="5"/>
  <c r="Z60" i="5"/>
  <c r="Z9" i="12"/>
  <c r="Z10" i="12" s="1"/>
  <c r="Z6" i="7"/>
  <c r="Z6" i="13"/>
  <c r="Z65" i="5"/>
  <c r="Z8" i="6"/>
  <c r="Z62" i="5" l="1"/>
  <c r="Z63" i="5" s="1"/>
  <c r="Z5" i="7" s="1"/>
  <c r="Z34" i="12"/>
  <c r="Z28" i="12"/>
  <c r="Z66" i="5"/>
  <c r="Z6" i="12"/>
  <c r="Z10" i="6"/>
  <c r="Z7" i="13"/>
  <c r="Z36" i="12" l="1"/>
  <c r="Z38" i="12" s="1"/>
  <c r="Z40" i="12"/>
  <c r="Z37" i="12"/>
  <c r="Z33" i="12"/>
  <c r="Z39" i="12" s="1"/>
  <c r="Z8" i="7"/>
  <c r="Z7" i="12"/>
  <c r="Z5" i="6"/>
  <c r="Z3" i="13"/>
  <c r="AB6" i="11"/>
  <c r="Z8" i="12"/>
  <c r="Z9" i="6"/>
  <c r="Z11" i="6" s="1"/>
  <c r="Z7" i="7"/>
  <c r="AB7" i="11" s="1"/>
  <c r="Z12" i="6" l="1"/>
  <c r="Z9" i="7"/>
  <c r="Z11" i="12"/>
  <c r="Z16" i="6" l="1"/>
  <c r="Z13" i="6"/>
  <c r="C30" i="7"/>
  <c r="C34" i="7"/>
  <c r="Y24" i="7"/>
  <c r="AA10" i="11"/>
  <c r="AA11" i="11"/>
  <c r="AA23" i="11"/>
  <c r="AA25" i="11"/>
  <c r="Z70" i="5"/>
  <c r="Z12" i="7"/>
  <c r="Z17" i="7"/>
  <c r="Z18" i="6"/>
  <c r="Z19" i="6"/>
  <c r="AB8" i="11"/>
  <c r="AB11" i="11"/>
  <c r="AA18" i="5"/>
  <c r="AA11" i="5"/>
  <c r="AA13" i="5"/>
  <c r="AA14" i="5"/>
  <c r="AA19" i="5"/>
  <c r="AA23" i="5"/>
  <c r="AA38" i="5"/>
  <c r="AA34" i="5"/>
  <c r="AA36" i="5"/>
  <c r="AA37" i="5"/>
  <c r="AA39" i="5"/>
  <c r="AA43" i="5"/>
  <c r="AA60" i="5"/>
  <c r="AA6" i="12"/>
  <c r="AA70" i="5"/>
  <c r="AB18" i="5"/>
  <c r="AB11" i="5"/>
  <c r="AB13" i="5"/>
  <c r="AB14" i="5"/>
  <c r="AB19" i="5"/>
  <c r="AB23" i="5"/>
  <c r="AB38" i="5"/>
  <c r="AB34" i="5"/>
  <c r="AB36" i="5"/>
  <c r="AB37" i="5"/>
  <c r="AB39" i="5"/>
  <c r="AB43" i="5"/>
  <c r="AB60" i="5"/>
  <c r="AB6" i="12"/>
  <c r="AB70" i="5"/>
  <c r="AC18" i="5"/>
  <c r="AC11" i="5"/>
  <c r="AC13" i="5"/>
  <c r="AC14" i="5"/>
  <c r="AC19" i="5"/>
  <c r="AC23" i="5"/>
  <c r="AC38" i="5"/>
  <c r="AC34" i="5"/>
  <c r="AC36" i="5"/>
  <c r="AC37" i="5"/>
  <c r="AC39" i="5"/>
  <c r="AC43" i="5"/>
  <c r="AC60" i="5"/>
  <c r="AC6" i="12"/>
  <c r="AC70" i="5"/>
  <c r="AD18" i="5"/>
  <c r="AD11" i="5"/>
  <c r="AD13" i="5"/>
  <c r="AD14" i="5"/>
  <c r="AD19" i="5"/>
  <c r="AD23" i="5"/>
  <c r="AD38" i="5"/>
  <c r="AD34" i="5"/>
  <c r="AD36" i="5"/>
  <c r="AD37" i="5"/>
  <c r="AD39" i="5"/>
  <c r="AD43" i="5"/>
  <c r="AD60" i="5"/>
  <c r="AD6" i="12"/>
  <c r="AD70" i="5"/>
  <c r="AE18" i="5"/>
  <c r="AE11" i="5"/>
  <c r="AE13" i="5"/>
  <c r="AE14" i="5"/>
  <c r="AE19" i="5"/>
  <c r="AE23" i="5"/>
  <c r="AE38" i="5"/>
  <c r="AE34" i="5"/>
  <c r="AE36" i="5"/>
  <c r="AE37" i="5"/>
  <c r="AE39" i="5"/>
  <c r="AE43" i="5"/>
  <c r="AE60" i="5"/>
  <c r="AE6" i="12"/>
  <c r="AE70" i="5"/>
  <c r="AF18" i="5"/>
  <c r="AF11" i="5"/>
  <c r="AF13" i="5"/>
  <c r="AF14" i="5"/>
  <c r="AF19" i="5"/>
  <c r="AF23" i="5"/>
  <c r="AF38" i="5"/>
  <c r="AF34" i="5"/>
  <c r="AF36" i="5"/>
  <c r="AF37" i="5"/>
  <c r="AF39" i="5"/>
  <c r="AF43" i="5"/>
  <c r="AF60" i="5"/>
  <c r="AF6" i="12"/>
  <c r="AF70" i="5"/>
  <c r="AG18" i="5"/>
  <c r="AG11" i="5"/>
  <c r="AG13" i="5"/>
  <c r="AG14" i="5"/>
  <c r="AG19" i="5"/>
  <c r="AG23" i="5"/>
  <c r="AG38" i="5"/>
  <c r="AG34" i="5"/>
  <c r="AG36" i="5"/>
  <c r="AG37" i="5"/>
  <c r="AG39" i="5"/>
  <c r="AG43" i="5"/>
  <c r="AG60" i="5"/>
  <c r="AG6" i="12"/>
  <c r="AG70" i="5"/>
  <c r="AH18" i="5"/>
  <c r="AH11" i="5"/>
  <c r="AH13" i="5"/>
  <c r="AH14" i="5"/>
  <c r="AH19" i="5"/>
  <c r="AH23" i="5"/>
  <c r="AH38" i="5"/>
  <c r="AH34" i="5"/>
  <c r="AH36" i="5"/>
  <c r="AH37" i="5"/>
  <c r="AH39" i="5"/>
  <c r="AH43" i="5"/>
  <c r="AH60" i="5"/>
  <c r="AH6" i="12"/>
  <c r="AH70" i="5"/>
  <c r="AI18" i="5"/>
  <c r="AI11" i="5"/>
  <c r="AI13" i="5"/>
  <c r="AI14" i="5"/>
  <c r="AI19" i="5"/>
  <c r="AI23" i="5"/>
  <c r="AI38" i="5"/>
  <c r="AI34" i="5"/>
  <c r="AI36" i="5"/>
  <c r="AI37" i="5"/>
  <c r="AI39" i="5"/>
  <c r="AI43" i="5"/>
  <c r="AI60" i="5"/>
  <c r="AI6" i="12"/>
  <c r="AI70" i="5"/>
  <c r="AJ18" i="5"/>
  <c r="AJ11" i="5"/>
  <c r="AJ13" i="5"/>
  <c r="AJ14" i="5"/>
  <c r="AJ19" i="5"/>
  <c r="AJ23" i="5"/>
  <c r="AJ38" i="5"/>
  <c r="AJ34" i="5"/>
  <c r="AJ36" i="5"/>
  <c r="AJ37" i="5"/>
  <c r="AJ39" i="5"/>
  <c r="AJ43" i="5"/>
  <c r="AJ60" i="5"/>
  <c r="AJ6" i="12"/>
  <c r="AJ70" i="5"/>
  <c r="AK18" i="5"/>
  <c r="AK11" i="5"/>
  <c r="AK13" i="5"/>
  <c r="AK14" i="5"/>
  <c r="AK19" i="5"/>
  <c r="AK23" i="5"/>
  <c r="AK38" i="5"/>
  <c r="AK34" i="5"/>
  <c r="AK36" i="5"/>
  <c r="AK37" i="5"/>
  <c r="AK39" i="5"/>
  <c r="AK43" i="5"/>
  <c r="AK60" i="5"/>
  <c r="AK6" i="12"/>
  <c r="D51" i="12"/>
  <c r="AA24" i="5"/>
  <c r="AA44" i="5"/>
  <c r="AA62" i="5"/>
  <c r="AB24" i="5"/>
  <c r="AB44" i="5"/>
  <c r="AB62" i="5"/>
  <c r="AC24" i="5"/>
  <c r="AC44" i="5"/>
  <c r="AC62" i="5"/>
  <c r="AD24" i="5"/>
  <c r="AD44" i="5"/>
  <c r="AD62" i="5"/>
  <c r="AE24" i="5"/>
  <c r="AE44" i="5"/>
  <c r="AE62" i="5"/>
  <c r="AF24" i="5"/>
  <c r="AF44" i="5"/>
  <c r="AF62" i="5"/>
  <c r="AG24" i="5"/>
  <c r="AG44" i="5"/>
  <c r="AG62" i="5"/>
  <c r="AH24" i="5"/>
  <c r="AH44" i="5"/>
  <c r="AH62" i="5"/>
  <c r="AI24" i="5"/>
  <c r="AI44" i="5"/>
  <c r="AI62" i="5"/>
  <c r="AJ24" i="5"/>
  <c r="AJ44" i="5"/>
  <c r="AJ62" i="5"/>
  <c r="AK24" i="5"/>
  <c r="AK44" i="5"/>
  <c r="AK62" i="5"/>
  <c r="D53" i="12"/>
  <c r="AA20" i="5"/>
  <c r="AA40" i="5"/>
  <c r="AA67" i="5"/>
  <c r="AA19" i="12"/>
  <c r="AB20" i="5"/>
  <c r="AB40" i="5"/>
  <c r="AB67" i="5"/>
  <c r="AB19" i="12"/>
  <c r="AC20" i="5"/>
  <c r="AC40" i="5"/>
  <c r="AC67" i="5"/>
  <c r="AC19" i="12"/>
  <c r="AD20" i="5"/>
  <c r="AD40" i="5"/>
  <c r="AD67" i="5"/>
  <c r="AD19" i="12"/>
  <c r="AE20" i="5"/>
  <c r="AE40" i="5"/>
  <c r="AE67" i="5"/>
  <c r="AE19" i="12"/>
  <c r="AF20" i="5"/>
  <c r="AF40" i="5"/>
  <c r="AF67" i="5"/>
  <c r="AF19" i="12"/>
  <c r="AG20" i="5"/>
  <c r="AG40" i="5"/>
  <c r="AG67" i="5"/>
  <c r="AG19" i="12"/>
  <c r="AH20" i="5"/>
  <c r="AH40" i="5"/>
  <c r="AH67" i="5"/>
  <c r="AH19" i="12"/>
  <c r="AI20" i="5"/>
  <c r="AI40" i="5"/>
  <c r="AI67" i="5"/>
  <c r="AI19" i="12"/>
  <c r="AJ20" i="5"/>
  <c r="AJ40" i="5"/>
  <c r="AJ67" i="5"/>
  <c r="AJ19" i="12"/>
  <c r="AK20" i="5"/>
  <c r="AK40" i="5"/>
  <c r="AK67" i="5"/>
  <c r="AK19" i="12"/>
  <c r="D61" i="12"/>
  <c r="Z48" i="10"/>
  <c r="Y25" i="7"/>
  <c r="Y4" i="13"/>
  <c r="Y8" i="13"/>
  <c r="C51" i="12"/>
  <c r="C53" i="12"/>
  <c r="Z18" i="7"/>
  <c r="Z21" i="7"/>
  <c r="Z23" i="7"/>
  <c r="Z25" i="7"/>
  <c r="Z4" i="13"/>
  <c r="Z8" i="13"/>
  <c r="AA15" i="5"/>
  <c r="AA17" i="5"/>
  <c r="AA61" i="5"/>
  <c r="AA63" i="5"/>
  <c r="AA5" i="7"/>
  <c r="AA64" i="5"/>
  <c r="AA65" i="5"/>
  <c r="AA66" i="5"/>
  <c r="AA7" i="7"/>
  <c r="AA8" i="7"/>
  <c r="AA12" i="7"/>
  <c r="AA17" i="7"/>
  <c r="AA18" i="7"/>
  <c r="AA21" i="7"/>
  <c r="AA23" i="7"/>
  <c r="AA25" i="7"/>
  <c r="AA4" i="13"/>
  <c r="AA8" i="13"/>
  <c r="AB15" i="5"/>
  <c r="AB17" i="5"/>
  <c r="AB61" i="5"/>
  <c r="AB63" i="5"/>
  <c r="AB5" i="7"/>
  <c r="AB64" i="5"/>
  <c r="AB65" i="5"/>
  <c r="AB66" i="5"/>
  <c r="AB7" i="7"/>
  <c r="AB8" i="7"/>
  <c r="AB12" i="7"/>
  <c r="AB17" i="7"/>
  <c r="AB18" i="7"/>
  <c r="AB21" i="7"/>
  <c r="AB23" i="7"/>
  <c r="AB25" i="7"/>
  <c r="AB4" i="13"/>
  <c r="AB8" i="13"/>
  <c r="AC15" i="5"/>
  <c r="AC17" i="5"/>
  <c r="AC61" i="5"/>
  <c r="AC63" i="5"/>
  <c r="AC5" i="7"/>
  <c r="AC64" i="5"/>
  <c r="AC65" i="5"/>
  <c r="AC66" i="5"/>
  <c r="AC7" i="7"/>
  <c r="AC8" i="7"/>
  <c r="AC12" i="7"/>
  <c r="AC17" i="7"/>
  <c r="AC18" i="7"/>
  <c r="AC21" i="7"/>
  <c r="AC23" i="7"/>
  <c r="AC25" i="7"/>
  <c r="AC4" i="13"/>
  <c r="AC8" i="13"/>
  <c r="AD15" i="5"/>
  <c r="AD17" i="5"/>
  <c r="AD61" i="5"/>
  <c r="AD63" i="5"/>
  <c r="AD5" i="7"/>
  <c r="AD64" i="5"/>
  <c r="AD65" i="5"/>
  <c r="AD66" i="5"/>
  <c r="AD7" i="7"/>
  <c r="AD8" i="7"/>
  <c r="AD12" i="7"/>
  <c r="AD17" i="7"/>
  <c r="AD18" i="7"/>
  <c r="AD21" i="7"/>
  <c r="AD23" i="7"/>
  <c r="AD25" i="7"/>
  <c r="AD4" i="13"/>
  <c r="AD8" i="13"/>
  <c r="AE15" i="5"/>
  <c r="AE17" i="5"/>
  <c r="AE61" i="5"/>
  <c r="AE63" i="5"/>
  <c r="AE5" i="7"/>
  <c r="AE64" i="5"/>
  <c r="AE65" i="5"/>
  <c r="AE66" i="5"/>
  <c r="AE7" i="7"/>
  <c r="AE8" i="7"/>
  <c r="AE12" i="7"/>
  <c r="AE17" i="7"/>
  <c r="AE18" i="7"/>
  <c r="AE21" i="7"/>
  <c r="AE23" i="7"/>
  <c r="AE25" i="7"/>
  <c r="AE4" i="13"/>
  <c r="AE8" i="13"/>
  <c r="AF15" i="5"/>
  <c r="AF17" i="5"/>
  <c r="AF61" i="5"/>
  <c r="AF63" i="5"/>
  <c r="AF5" i="7"/>
  <c r="AF64" i="5"/>
  <c r="AF65" i="5"/>
  <c r="AF66" i="5"/>
  <c r="AF7" i="7"/>
  <c r="AF8" i="7"/>
  <c r="AF12" i="7"/>
  <c r="AF17" i="7"/>
  <c r="AF18" i="7"/>
  <c r="AF21" i="7"/>
  <c r="AF23" i="7"/>
  <c r="AF25" i="7"/>
  <c r="AF4" i="13"/>
  <c r="AF8" i="13"/>
  <c r="AG15" i="5"/>
  <c r="AG17" i="5"/>
  <c r="AG61" i="5"/>
  <c r="AG63" i="5"/>
  <c r="AG5" i="7"/>
  <c r="AG64" i="5"/>
  <c r="AG65" i="5"/>
  <c r="AG66" i="5"/>
  <c r="AG7" i="7"/>
  <c r="AG8" i="7"/>
  <c r="AG12" i="7"/>
  <c r="AG17" i="7"/>
  <c r="AG18" i="7"/>
  <c r="AG21" i="7"/>
  <c r="AG23" i="7"/>
  <c r="AG25" i="7"/>
  <c r="AG4" i="13"/>
  <c r="AG8" i="13"/>
  <c r="AH15" i="5"/>
  <c r="AH17" i="5"/>
  <c r="AH61" i="5"/>
  <c r="AH63" i="5"/>
  <c r="AH5" i="7"/>
  <c r="AH64" i="5"/>
  <c r="AH65" i="5"/>
  <c r="AH66" i="5"/>
  <c r="AH7" i="7"/>
  <c r="AH8" i="7"/>
  <c r="AH12" i="7"/>
  <c r="AH17" i="7"/>
  <c r="AH18" i="7"/>
  <c r="AH21" i="7"/>
  <c r="AH23" i="7"/>
  <c r="AH25" i="7"/>
  <c r="AH4" i="13"/>
  <c r="AH8" i="13"/>
  <c r="AI15" i="5"/>
  <c r="AI17" i="5"/>
  <c r="AI61" i="5"/>
  <c r="AI63" i="5"/>
  <c r="AI5" i="7"/>
  <c r="AI64" i="5"/>
  <c r="AI65" i="5"/>
  <c r="AI66" i="5"/>
  <c r="AI7" i="7"/>
  <c r="AI8" i="7"/>
  <c r="AI12" i="7"/>
  <c r="AI17" i="7"/>
  <c r="AI18" i="7"/>
  <c r="AI21" i="7"/>
  <c r="AI23" i="7"/>
  <c r="AI25" i="7"/>
  <c r="AI4" i="13"/>
  <c r="AI8" i="13"/>
  <c r="AJ15" i="5"/>
  <c r="AJ17" i="5"/>
  <c r="AJ61" i="5"/>
  <c r="AJ63" i="5"/>
  <c r="AJ5" i="7"/>
  <c r="AJ64" i="5"/>
  <c r="AJ65" i="5"/>
  <c r="AJ66" i="5"/>
  <c r="AJ7" i="7"/>
  <c r="AJ8" i="7"/>
  <c r="AJ12" i="7"/>
  <c r="AJ17" i="7"/>
  <c r="AJ18" i="7"/>
  <c r="AJ21" i="7"/>
  <c r="AJ23" i="7"/>
  <c r="AJ25" i="7"/>
  <c r="AJ4" i="13"/>
  <c r="AJ8" i="13"/>
  <c r="AK15" i="5"/>
  <c r="AK17" i="5"/>
  <c r="AK61" i="5"/>
  <c r="AK63" i="5"/>
  <c r="AK5" i="7"/>
  <c r="AK64" i="5"/>
  <c r="AK65" i="5"/>
  <c r="AK66" i="5"/>
  <c r="AK7" i="7"/>
  <c r="AK8" i="7"/>
  <c r="AK70" i="5"/>
  <c r="AK12" i="7"/>
  <c r="AK17" i="7"/>
  <c r="AK18" i="7"/>
  <c r="AK21" i="7"/>
  <c r="AK23" i="7"/>
  <c r="D30" i="7"/>
  <c r="D34" i="7"/>
  <c r="AK24" i="7"/>
  <c r="AK25" i="7"/>
  <c r="AK4" i="13"/>
  <c r="AK8" i="13"/>
  <c r="B23" i="2"/>
  <c r="AA48" i="10"/>
  <c r="AC6" i="11"/>
  <c r="AC7" i="11"/>
  <c r="AC8" i="11"/>
  <c r="AB48" i="10"/>
  <c r="AD6" i="11"/>
  <c r="AD7" i="11"/>
  <c r="AD8" i="11"/>
  <c r="AC48" i="10"/>
  <c r="AE6" i="11"/>
  <c r="AE7" i="11"/>
  <c r="AE8" i="11"/>
  <c r="AD48" i="10"/>
  <c r="AF6" i="11"/>
  <c r="AF7" i="11"/>
  <c r="AF8" i="11"/>
  <c r="AE48" i="10"/>
  <c r="AG6" i="11"/>
  <c r="AG7" i="11"/>
  <c r="AG8" i="11"/>
  <c r="AF48" i="10"/>
  <c r="AH6" i="11"/>
  <c r="AH7" i="11"/>
  <c r="AH8" i="11"/>
  <c r="AG48" i="10"/>
  <c r="AI6" i="11"/>
  <c r="AI7" i="11"/>
  <c r="AI8" i="11"/>
  <c r="AH48" i="10"/>
  <c r="AJ6" i="11"/>
  <c r="AJ7" i="11"/>
  <c r="AJ8" i="11"/>
  <c r="AI48" i="10"/>
  <c r="AK6" i="11"/>
  <c r="AK7" i="11"/>
  <c r="AK8" i="11"/>
  <c r="AJ48" i="10"/>
  <c r="AL6" i="11"/>
  <c r="AL7" i="11"/>
  <c r="AL8" i="11"/>
  <c r="AK48" i="10"/>
  <c r="AM6" i="11"/>
  <c r="AM7" i="11"/>
  <c r="AM8" i="11"/>
  <c r="AM10" i="11"/>
  <c r="AL48" i="10"/>
  <c r="B37" i="10"/>
  <c r="C61" i="12"/>
  <c r="Z20" i="6"/>
  <c r="AA5" i="6"/>
  <c r="AA6" i="6"/>
  <c r="AA7" i="6"/>
  <c r="AA8" i="6"/>
  <c r="AA9" i="6"/>
  <c r="AA10" i="6"/>
  <c r="AA11" i="6"/>
  <c r="AA12" i="6"/>
  <c r="AA16" i="6"/>
  <c r="AA18" i="6"/>
  <c r="AA19" i="6"/>
  <c r="AA20" i="6"/>
  <c r="AB5" i="6"/>
  <c r="AB6" i="6"/>
  <c r="AB7" i="6"/>
  <c r="AB8" i="6"/>
  <c r="AB9" i="6"/>
  <c r="AB10" i="6"/>
  <c r="AB11" i="6"/>
  <c r="AB12" i="6"/>
  <c r="AB16" i="6"/>
  <c r="AB18" i="6"/>
  <c r="AB19" i="6"/>
  <c r="AB20" i="6"/>
  <c r="AC5" i="6"/>
  <c r="AC6" i="6"/>
  <c r="AC7" i="6"/>
  <c r="AC8" i="6"/>
  <c r="AC9" i="6"/>
  <c r="AC10" i="6"/>
  <c r="AC11" i="6"/>
  <c r="AC12" i="6"/>
  <c r="AC16" i="6"/>
  <c r="AC18" i="6"/>
  <c r="AC19" i="6"/>
  <c r="AC20" i="6"/>
  <c r="AD5" i="6"/>
  <c r="AD6" i="6"/>
  <c r="AD7" i="6"/>
  <c r="AD8" i="6"/>
  <c r="AD9" i="6"/>
  <c r="AD10" i="6"/>
  <c r="AD11" i="6"/>
  <c r="AD12" i="6"/>
  <c r="AD16" i="6"/>
  <c r="AD18" i="6"/>
  <c r="AD19" i="6"/>
  <c r="AD20" i="6"/>
  <c r="AE5" i="6"/>
  <c r="AE6" i="6"/>
  <c r="AE7" i="6"/>
  <c r="AE8" i="6"/>
  <c r="AE9" i="6"/>
  <c r="AE10" i="6"/>
  <c r="AE11" i="6"/>
  <c r="AE12" i="6"/>
  <c r="AE16" i="6"/>
  <c r="AE18" i="6"/>
  <c r="AE19" i="6"/>
  <c r="AE20" i="6"/>
  <c r="AF5" i="6"/>
  <c r="AF6" i="6"/>
  <c r="AF7" i="6"/>
  <c r="AF8" i="6"/>
  <c r="AF9" i="6"/>
  <c r="AF10" i="6"/>
  <c r="AF11" i="6"/>
  <c r="AF12" i="6"/>
  <c r="AF16" i="6"/>
  <c r="AF18" i="6"/>
  <c r="AF19" i="6"/>
  <c r="AF20" i="6"/>
  <c r="AG5" i="6"/>
  <c r="AG6" i="6"/>
  <c r="AG7" i="6"/>
  <c r="AG8" i="6"/>
  <c r="AG9" i="6"/>
  <c r="AG10" i="6"/>
  <c r="AG11" i="6"/>
  <c r="AG12" i="6"/>
  <c r="AG16" i="6"/>
  <c r="AG18" i="6"/>
  <c r="AG19" i="6"/>
  <c r="AG20" i="6"/>
  <c r="AH5" i="6"/>
  <c r="AH6" i="6"/>
  <c r="AH7" i="6"/>
  <c r="AH8" i="6"/>
  <c r="AH9" i="6"/>
  <c r="AH10" i="6"/>
  <c r="AH11" i="6"/>
  <c r="AH12" i="6"/>
  <c r="AH16" i="6"/>
  <c r="AH18" i="6"/>
  <c r="AH19" i="6"/>
  <c r="AH20" i="6"/>
  <c r="AI5" i="6"/>
  <c r="AI6" i="6"/>
  <c r="AI7" i="6"/>
  <c r="AI8" i="6"/>
  <c r="AI9" i="6"/>
  <c r="AI10" i="6"/>
  <c r="AI11" i="6"/>
  <c r="AI12" i="6"/>
  <c r="AI16" i="6"/>
  <c r="AI18" i="6"/>
  <c r="AI19" i="6"/>
  <c r="AI20" i="6"/>
  <c r="AJ5" i="6"/>
  <c r="AJ6" i="6"/>
  <c r="AJ7" i="6"/>
  <c r="AJ8" i="6"/>
  <c r="AJ9" i="6"/>
  <c r="AJ10" i="6"/>
  <c r="AJ11" i="6"/>
  <c r="AJ12" i="6"/>
  <c r="AJ16" i="6"/>
  <c r="AJ18" i="6"/>
  <c r="AJ19" i="6"/>
  <c r="AJ20" i="6"/>
  <c r="AK5" i="6"/>
  <c r="AK6" i="6"/>
  <c r="AK7" i="6"/>
  <c r="AK8" i="6"/>
  <c r="AK9" i="6"/>
  <c r="AK10" i="6"/>
  <c r="AK11" i="6"/>
  <c r="AK12" i="6"/>
  <c r="AK16" i="6"/>
  <c r="AK18" i="6"/>
  <c r="AK19" i="6"/>
  <c r="AK20" i="6"/>
  <c r="B52" i="2"/>
  <c r="AG7" i="12"/>
  <c r="AH7" i="12"/>
  <c r="AH11" i="12"/>
  <c r="AG11" i="11"/>
  <c r="AG23" i="11"/>
  <c r="AF11" i="11"/>
  <c r="AF23" i="11"/>
  <c r="AE11" i="11"/>
  <c r="AE23" i="11"/>
  <c r="AD11" i="11"/>
  <c r="AD23" i="11"/>
  <c r="AC11" i="11"/>
  <c r="AC23" i="11"/>
  <c r="AB23" i="11"/>
  <c r="AB24" i="11"/>
  <c r="AB25" i="11"/>
  <c r="AC24" i="11"/>
  <c r="AC25" i="11"/>
  <c r="AD24" i="11"/>
  <c r="AD25" i="11"/>
  <c r="AE24" i="11"/>
  <c r="AE25" i="11"/>
  <c r="AF24" i="11"/>
  <c r="AF25" i="11"/>
  <c r="AG24" i="11"/>
  <c r="AG25" i="11"/>
  <c r="AG9" i="8"/>
  <c r="AG10" i="8"/>
  <c r="AG15" i="8"/>
  <c r="AG16" i="8"/>
  <c r="AG18" i="8"/>
  <c r="AG19" i="8"/>
  <c r="AJ11" i="11"/>
  <c r="AJ23" i="11"/>
  <c r="AI11" i="11"/>
  <c r="AI23" i="11"/>
  <c r="AH11" i="11"/>
  <c r="AH23" i="11"/>
  <c r="AH24" i="11"/>
  <c r="AH25" i="11"/>
  <c r="AI24" i="11"/>
  <c r="AI25" i="11"/>
  <c r="AJ24" i="11"/>
  <c r="AJ25" i="11"/>
  <c r="AJ9" i="8"/>
  <c r="AJ10" i="8"/>
  <c r="AJ15" i="8"/>
  <c r="AJ16" i="8"/>
  <c r="AJ18" i="8"/>
  <c r="AJ19" i="8"/>
  <c r="AF9" i="8"/>
  <c r="AF10" i="8"/>
  <c r="AF15" i="8"/>
  <c r="AF16" i="8"/>
  <c r="AF18" i="8"/>
  <c r="AA9" i="8"/>
  <c r="AA10" i="8"/>
  <c r="AA15" i="8"/>
  <c r="AA16" i="8"/>
  <c r="AA18" i="8"/>
  <c r="AK21" i="5"/>
  <c r="AK17" i="12"/>
  <c r="D60" i="12"/>
  <c r="B38" i="10"/>
  <c r="B43" i="10"/>
  <c r="AL11" i="11"/>
  <c r="AL23" i="11"/>
  <c r="AK11" i="11"/>
  <c r="AK23" i="11"/>
  <c r="AK24" i="11"/>
  <c r="AK25" i="11"/>
  <c r="AL24" i="11"/>
  <c r="AL25" i="11"/>
  <c r="AL9" i="8"/>
  <c r="AL10" i="8"/>
  <c r="Y46" i="12"/>
  <c r="Y43" i="12"/>
  <c r="Y47" i="12"/>
  <c r="AA27" i="11"/>
  <c r="AA28" i="11"/>
  <c r="Y45" i="12"/>
  <c r="AE27" i="12"/>
  <c r="AE32" i="12"/>
  <c r="AK41" i="5"/>
  <c r="AK21" i="12"/>
  <c r="AA7" i="12"/>
  <c r="AA11" i="12"/>
  <c r="AB7" i="12"/>
  <c r="AB11" i="12"/>
  <c r="AE46" i="12"/>
  <c r="AE43" i="12"/>
  <c r="AE47" i="12"/>
  <c r="AK27" i="11"/>
  <c r="AK28" i="11"/>
  <c r="AI45" i="12"/>
  <c r="AD28" i="12"/>
  <c r="AD33" i="12"/>
  <c r="AD37" i="12"/>
  <c r="AD39" i="12"/>
  <c r="V46" i="12"/>
  <c r="V47" i="12"/>
  <c r="AD27" i="11"/>
  <c r="AD28" i="11"/>
  <c r="AB45" i="12"/>
  <c r="AJ28" i="12"/>
  <c r="AJ33" i="12"/>
  <c r="AJ37" i="12"/>
  <c r="AJ39" i="12"/>
  <c r="AA28" i="12"/>
  <c r="AA33" i="12"/>
  <c r="AA37" i="12"/>
  <c r="AA39" i="12"/>
  <c r="AC28" i="12"/>
  <c r="AC37" i="12"/>
  <c r="AC33" i="12"/>
  <c r="AG27" i="12"/>
  <c r="AG32" i="12"/>
  <c r="AJ27" i="12"/>
  <c r="AJ32" i="12"/>
  <c r="AD27" i="12"/>
  <c r="AD32" i="12"/>
  <c r="AG41" i="5"/>
  <c r="AG21" i="12"/>
  <c r="AF9" i="12"/>
  <c r="AF10" i="12"/>
  <c r="AD9" i="12"/>
  <c r="AD10" i="12"/>
  <c r="AK9" i="8"/>
  <c r="AK10" i="8"/>
  <c r="AK15" i="8"/>
  <c r="AK16" i="8"/>
  <c r="AK18" i="8"/>
  <c r="AE9" i="8"/>
  <c r="AE10" i="8"/>
  <c r="AE15" i="8"/>
  <c r="AE16" i="8"/>
  <c r="AE18" i="8"/>
  <c r="AL15" i="8"/>
  <c r="AL16" i="8"/>
  <c r="AL18" i="8"/>
  <c r="AL19" i="8"/>
  <c r="AD9" i="8"/>
  <c r="AD10" i="8"/>
  <c r="AD15" i="8"/>
  <c r="AD16" i="8"/>
  <c r="AD18" i="8"/>
  <c r="B10" i="2"/>
  <c r="C63" i="12"/>
  <c r="AK27" i="12"/>
  <c r="AK32" i="12"/>
  <c r="AH15" i="8"/>
  <c r="AH16" i="8"/>
  <c r="AJ46" i="12"/>
  <c r="AJ43" i="12"/>
  <c r="AJ47" i="12"/>
  <c r="C52" i="12"/>
  <c r="C58" i="12"/>
  <c r="C31" i="7"/>
  <c r="C55" i="12"/>
  <c r="C57" i="12"/>
  <c r="C67" i="12"/>
  <c r="B8" i="2"/>
  <c r="AA46" i="12"/>
  <c r="AA43" i="12"/>
  <c r="AA47" i="12"/>
  <c r="AJ27" i="11"/>
  <c r="AH44" i="12"/>
  <c r="AJ28" i="11"/>
  <c r="AC46" i="12"/>
  <c r="AC43" i="12"/>
  <c r="AC47" i="12"/>
  <c r="AF28" i="12"/>
  <c r="AF33" i="12"/>
  <c r="AF37" i="12"/>
  <c r="AF39" i="12"/>
  <c r="R46" i="12"/>
  <c r="R47" i="12"/>
  <c r="AB27" i="12"/>
  <c r="AB32" i="12"/>
  <c r="AI27" i="12"/>
  <c r="AI32" i="12"/>
  <c r="AI34" i="12"/>
  <c r="AI36" i="12"/>
  <c r="AI38" i="12"/>
  <c r="AC9" i="12"/>
  <c r="AC10" i="12"/>
  <c r="AJ21" i="5"/>
  <c r="AJ17" i="12"/>
  <c r="AI7" i="12"/>
  <c r="AI11" i="12"/>
  <c r="AI9" i="12"/>
  <c r="AI10" i="12"/>
  <c r="X46" i="12"/>
  <c r="X47" i="12"/>
  <c r="O46" i="12"/>
  <c r="O47" i="12"/>
  <c r="AB27" i="11"/>
  <c r="AB28" i="11"/>
  <c r="Z45" i="12"/>
  <c r="Z44" i="12"/>
  <c r="AH27" i="12"/>
  <c r="AH32" i="12"/>
  <c r="AH34" i="12"/>
  <c r="AH36" i="12"/>
  <c r="AH38" i="12"/>
  <c r="AI27" i="11"/>
  <c r="AI28" i="11"/>
  <c r="AG45" i="12"/>
  <c r="AH27" i="11"/>
  <c r="AH28" i="11"/>
  <c r="AF44" i="12"/>
  <c r="AL27" i="11"/>
  <c r="AL28" i="11"/>
  <c r="AJ45" i="12"/>
  <c r="AC27" i="11"/>
  <c r="AC28" i="11"/>
  <c r="AA44" i="12"/>
  <c r="AC27" i="12"/>
  <c r="AC32" i="12"/>
  <c r="AC34" i="12"/>
  <c r="AC36" i="12"/>
  <c r="AC38" i="12"/>
  <c r="AB28" i="12"/>
  <c r="AE28" i="12"/>
  <c r="AG28" i="12"/>
  <c r="AH28" i="12"/>
  <c r="AI28" i="12"/>
  <c r="AK28" i="12"/>
  <c r="D64" i="12"/>
  <c r="AJ41" i="5"/>
  <c r="AJ21" i="12"/>
  <c r="AF21" i="5"/>
  <c r="AF17" i="12"/>
  <c r="AJ7" i="12"/>
  <c r="AJ11" i="12"/>
  <c r="AI41" i="5"/>
  <c r="AI21" i="12"/>
  <c r="AE21" i="5"/>
  <c r="AE17" i="12"/>
  <c r="AE9" i="12"/>
  <c r="AE10" i="12"/>
  <c r="AH21" i="5"/>
  <c r="AH17" i="12"/>
  <c r="AC9" i="8"/>
  <c r="AC10" i="8"/>
  <c r="AC15" i="8"/>
  <c r="AC16" i="8"/>
  <c r="AC18" i="8"/>
  <c r="AC19" i="8"/>
  <c r="AF19" i="8"/>
  <c r="AB9" i="8"/>
  <c r="AB10" i="8"/>
  <c r="AB15" i="8"/>
  <c r="AB16" i="8"/>
  <c r="AB18" i="8"/>
  <c r="AF13" i="6"/>
  <c r="AH9" i="8"/>
  <c r="AH10" i="8"/>
  <c r="AH18" i="8"/>
  <c r="AH19" i="8"/>
  <c r="AK9" i="12"/>
  <c r="D54" i="12"/>
  <c r="B13" i="2"/>
  <c r="B12" i="2"/>
  <c r="T46" i="12"/>
  <c r="T47" i="12"/>
  <c r="D32" i="7"/>
  <c r="D35" i="7"/>
  <c r="D56" i="12"/>
  <c r="B20" i="2"/>
  <c r="Y44" i="12"/>
  <c r="AG27" i="11"/>
  <c r="AG28" i="11"/>
  <c r="AE45" i="12"/>
  <c r="AB34" i="12"/>
  <c r="AB40" i="12"/>
  <c r="AB36" i="12"/>
  <c r="AB33" i="12"/>
  <c r="AB37" i="12"/>
  <c r="AC7" i="12"/>
  <c r="AC11" i="12"/>
  <c r="AA19" i="8"/>
  <c r="AM11" i="11"/>
  <c r="AM23" i="11"/>
  <c r="AM24" i="11"/>
  <c r="AM25" i="11"/>
  <c r="AM9" i="8"/>
  <c r="AM10" i="8"/>
  <c r="AM15" i="8"/>
  <c r="AM16" i="8"/>
  <c r="AM18" i="8"/>
  <c r="AK33" i="12"/>
  <c r="AK37" i="12"/>
  <c r="AK39" i="12"/>
  <c r="D66" i="12"/>
  <c r="B16" i="2"/>
  <c r="AI15" i="8"/>
  <c r="AF46" i="12"/>
  <c r="AF43" i="12"/>
  <c r="AF47" i="12"/>
  <c r="AH45" i="12"/>
  <c r="C32" i="7"/>
  <c r="C35" i="7"/>
  <c r="C56" i="12"/>
  <c r="B19" i="2"/>
  <c r="AG44" i="12"/>
  <c r="AK34" i="12"/>
  <c r="AK36" i="12"/>
  <c r="AK40" i="12"/>
  <c r="U46" i="12"/>
  <c r="U47" i="12"/>
  <c r="AM27" i="11"/>
  <c r="AM28" i="11"/>
  <c r="AK45" i="12"/>
  <c r="AH46" i="12"/>
  <c r="AH43" i="12"/>
  <c r="AH47" i="12"/>
  <c r="AA45" i="12"/>
  <c r="AI44" i="12"/>
  <c r="AI40" i="12"/>
  <c r="AG34" i="12"/>
  <c r="AG36" i="12"/>
  <c r="AG38" i="12"/>
  <c r="AF27" i="12"/>
  <c r="AF32" i="12"/>
  <c r="AF34" i="12"/>
  <c r="AF36" i="12"/>
  <c r="AF38" i="12"/>
  <c r="AE34" i="12"/>
  <c r="AE36" i="12"/>
  <c r="AE38" i="12"/>
  <c r="AI37" i="12"/>
  <c r="AI33" i="12"/>
  <c r="AH37" i="12"/>
  <c r="AH33" i="12"/>
  <c r="AC41" i="5"/>
  <c r="AC21" i="12"/>
  <c r="AG18" i="12"/>
  <c r="AG21" i="5"/>
  <c r="AG17" i="12"/>
  <c r="AF41" i="5"/>
  <c r="AF21" i="12"/>
  <c r="AE7" i="12"/>
  <c r="AF7" i="12"/>
  <c r="AF11" i="12"/>
  <c r="AB9" i="12"/>
  <c r="AB10" i="12"/>
  <c r="AA41" i="5"/>
  <c r="AA21" i="12"/>
  <c r="AA21" i="5"/>
  <c r="AA17" i="12"/>
  <c r="AD7" i="12"/>
  <c r="AE11" i="12"/>
  <c r="AH41" i="5"/>
  <c r="AH21" i="12"/>
  <c r="AD21" i="5"/>
  <c r="AD17" i="12"/>
  <c r="AB19" i="8"/>
  <c r="AM19" i="8"/>
  <c r="B51" i="2"/>
  <c r="AB13" i="6"/>
  <c r="AK16" i="12"/>
  <c r="D59" i="12"/>
  <c r="B30" i="2"/>
  <c r="AK46" i="12"/>
  <c r="AK43" i="12"/>
  <c r="AK47" i="12"/>
  <c r="B47" i="2"/>
  <c r="AK38" i="12"/>
  <c r="D65" i="12"/>
  <c r="B28" i="2"/>
  <c r="B39" i="10"/>
  <c r="B40" i="10"/>
  <c r="B45" i="2"/>
  <c r="B11" i="2"/>
  <c r="AE5" i="13"/>
  <c r="AA18" i="12"/>
  <c r="AA9" i="7"/>
  <c r="AB9" i="7"/>
  <c r="AC9" i="7"/>
  <c r="AD9" i="7"/>
  <c r="AE9" i="7"/>
  <c r="AF9" i="7"/>
  <c r="AG9" i="7"/>
  <c r="AH9" i="7"/>
  <c r="AI9" i="7"/>
  <c r="AJ9" i="7"/>
  <c r="AK9" i="7"/>
  <c r="B21" i="2"/>
  <c r="AJ13" i="6"/>
  <c r="AG7" i="13"/>
  <c r="AG8" i="12"/>
  <c r="P46" i="12"/>
  <c r="P47" i="12"/>
  <c r="W46" i="12"/>
  <c r="W47" i="12"/>
  <c r="AH40" i="12"/>
  <c r="D52" i="12"/>
  <c r="D58" i="12"/>
  <c r="D31" i="7"/>
  <c r="D55" i="12"/>
  <c r="D57" i="12"/>
  <c r="D67" i="12"/>
  <c r="B9" i="2"/>
  <c r="AB46" i="12"/>
  <c r="AB43" i="12"/>
  <c r="AB47" i="12"/>
  <c r="AI46" i="12"/>
  <c r="AI43" i="12"/>
  <c r="AI47" i="12"/>
  <c r="S46" i="12"/>
  <c r="S47" i="12"/>
  <c r="AG46" i="12"/>
  <c r="AG43" i="12"/>
  <c r="AG47" i="12"/>
  <c r="Q46" i="12"/>
  <c r="Q47" i="12"/>
  <c r="AF27" i="11"/>
  <c r="AF28" i="11"/>
  <c r="AD45" i="12"/>
  <c r="AD44" i="12"/>
  <c r="AD34" i="12"/>
  <c r="AD36" i="12"/>
  <c r="AD40" i="12"/>
  <c r="AH39" i="12"/>
  <c r="AH9" i="12"/>
  <c r="AH6" i="13"/>
  <c r="AH6" i="7"/>
  <c r="AC39" i="12"/>
  <c r="AK44" i="12"/>
  <c r="Z46" i="12"/>
  <c r="Z43" i="12"/>
  <c r="Z47" i="12"/>
  <c r="AE33" i="12"/>
  <c r="AE37" i="12"/>
  <c r="AE39" i="12"/>
  <c r="AG40" i="12"/>
  <c r="AB38" i="12"/>
  <c r="AJ34" i="12"/>
  <c r="AJ36" i="12"/>
  <c r="AJ38" i="12"/>
  <c r="AA27" i="12"/>
  <c r="AA32" i="12"/>
  <c r="AA34" i="12"/>
  <c r="AA36" i="12"/>
  <c r="AA38" i="12"/>
  <c r="AD38" i="12"/>
  <c r="AG11" i="12"/>
  <c r="AG9" i="12"/>
  <c r="AG10" i="12"/>
  <c r="AB41" i="5"/>
  <c r="AB21" i="12"/>
  <c r="AB21" i="5"/>
  <c r="AB17" i="12"/>
  <c r="AJ9" i="12"/>
  <c r="AJ10" i="12"/>
  <c r="AI18" i="12"/>
  <c r="AI21" i="5"/>
  <c r="AI17" i="12"/>
  <c r="AA9" i="12"/>
  <c r="AA10" i="12"/>
  <c r="AD41" i="5"/>
  <c r="AD21" i="12"/>
  <c r="AK19" i="8"/>
  <c r="AI9" i="8"/>
  <c r="AI10" i="8"/>
  <c r="AI16" i="8"/>
  <c r="AI18" i="8"/>
  <c r="AI19" i="8"/>
  <c r="B17" i="2"/>
  <c r="B29" i="2"/>
  <c r="B32" i="2"/>
  <c r="AK8" i="12"/>
  <c r="AK7" i="13"/>
  <c r="AE13" i="6"/>
  <c r="AC18" i="12"/>
  <c r="AJ7" i="13"/>
  <c r="AJ8" i="12"/>
  <c r="Y26" i="7"/>
  <c r="Z19" i="7"/>
  <c r="AD46" i="12"/>
  <c r="AD43" i="12"/>
  <c r="AD47" i="12"/>
  <c r="N46" i="12"/>
  <c r="N47" i="12"/>
  <c r="AE27" i="11"/>
  <c r="AE28" i="11"/>
  <c r="AC45" i="12"/>
  <c r="AC44" i="12"/>
  <c r="AG33" i="12"/>
  <c r="AG37" i="12"/>
  <c r="AG39" i="12"/>
  <c r="AF45" i="12"/>
  <c r="AB44" i="12"/>
  <c r="AB39" i="12"/>
  <c r="AH3" i="13"/>
  <c r="AH26" i="7"/>
  <c r="AH19" i="7"/>
  <c r="AJ44" i="12"/>
  <c r="AE44" i="12"/>
  <c r="AA40" i="12"/>
  <c r="AI39" i="12"/>
  <c r="AC40" i="12"/>
  <c r="AF40" i="12"/>
  <c r="AJ40" i="12"/>
  <c r="AE40" i="12"/>
  <c r="D63" i="12"/>
  <c r="AK18" i="12"/>
  <c r="AC21" i="5"/>
  <c r="AC17" i="12"/>
  <c r="AK7" i="12"/>
  <c r="AK11" i="12"/>
  <c r="AE41" i="5"/>
  <c r="AE21" i="12"/>
  <c r="AF35" i="5"/>
  <c r="AE20" i="12"/>
  <c r="AE18" i="12"/>
  <c r="AD20" i="12"/>
  <c r="AE35" i="5"/>
  <c r="AD11" i="12"/>
  <c r="AH10" i="12"/>
  <c r="B43" i="2"/>
  <c r="B41" i="10"/>
  <c r="D33" i="7"/>
  <c r="AE19" i="8"/>
  <c r="AD19" i="8"/>
  <c r="AI13" i="6"/>
  <c r="B50" i="2"/>
  <c r="B26" i="2"/>
  <c r="C64" i="12"/>
  <c r="AA5" i="13"/>
  <c r="AA3" i="13"/>
  <c r="AA26" i="7"/>
  <c r="AA19" i="7"/>
  <c r="AI3" i="13"/>
  <c r="AI26" i="7"/>
  <c r="AI19" i="7"/>
  <c r="AH13" i="6"/>
  <c r="AA13" i="6"/>
  <c r="AJ18" i="12"/>
  <c r="AH18" i="12"/>
  <c r="AF18" i="12"/>
  <c r="AD18" i="12"/>
  <c r="AB18" i="12"/>
  <c r="AF7" i="13"/>
  <c r="AF8" i="12"/>
  <c r="B22" i="2"/>
  <c r="AG6" i="13"/>
  <c r="AG6" i="7"/>
  <c r="AG13" i="6"/>
  <c r="AK13" i="6"/>
  <c r="AD13" i="6"/>
  <c r="AC13" i="6"/>
  <c r="B45" i="10"/>
  <c r="B42" i="2"/>
  <c r="AK5" i="13"/>
  <c r="AK10" i="12"/>
  <c r="B31" i="2"/>
  <c r="B27" i="2"/>
  <c r="AG5" i="13"/>
  <c r="AC5" i="13"/>
  <c r="AI5" i="13"/>
  <c r="Y5" i="13"/>
  <c r="AJ5" i="13"/>
  <c r="AH5" i="13"/>
  <c r="AF5" i="13"/>
  <c r="AD5" i="13"/>
  <c r="AB5" i="13"/>
  <c r="Z5" i="13"/>
  <c r="AI7" i="13"/>
  <c r="AI8" i="12"/>
  <c r="AE7" i="13"/>
  <c r="AE8" i="12"/>
  <c r="Z26" i="7"/>
  <c r="B33" i="2"/>
  <c r="AK24" i="12"/>
  <c r="AI20" i="12"/>
  <c r="AJ35" i="5"/>
  <c r="AI12" i="5"/>
  <c r="AH16" i="12"/>
  <c r="AE19" i="7"/>
  <c r="AE26" i="7"/>
  <c r="AE3" i="13"/>
  <c r="AD6" i="13"/>
  <c r="AD6" i="7"/>
  <c r="AD16" i="12"/>
  <c r="AE12" i="5"/>
  <c r="AA20" i="12"/>
  <c r="AB35" i="5"/>
  <c r="AC8" i="12"/>
  <c r="AC7" i="13"/>
  <c r="AB7" i="13"/>
  <c r="AB8" i="12"/>
  <c r="AA7" i="13"/>
  <c r="AA8" i="12"/>
  <c r="AH8" i="12"/>
  <c r="AH7" i="13"/>
  <c r="AD7" i="13"/>
  <c r="AD8" i="12"/>
  <c r="AK6" i="7"/>
  <c r="AK6" i="13"/>
  <c r="AH20" i="12"/>
  <c r="AI35" i="5"/>
  <c r="AG16" i="12"/>
  <c r="AH12" i="5"/>
  <c r="AD3" i="13"/>
  <c r="AD26" i="7"/>
  <c r="AD19" i="7"/>
  <c r="AC6" i="7"/>
  <c r="AC6" i="13"/>
  <c r="AC16" i="12"/>
  <c r="AD12" i="5"/>
  <c r="B7" i="2"/>
  <c r="AK3" i="13"/>
  <c r="AK26" i="7"/>
  <c r="AK19" i="7"/>
  <c r="AK20" i="12"/>
  <c r="AJ6" i="13"/>
  <c r="AJ6" i="7"/>
  <c r="AJ16" i="12"/>
  <c r="AK12" i="5"/>
  <c r="AI24" i="12"/>
  <c r="AG3" i="13"/>
  <c r="AG26" i="7"/>
  <c r="AG19" i="7"/>
  <c r="AG20" i="12"/>
  <c r="AH35" i="5"/>
  <c r="AF6" i="13"/>
  <c r="AF6" i="7"/>
  <c r="AG12" i="5"/>
  <c r="AF16" i="12"/>
  <c r="AE24" i="12"/>
  <c r="AC26" i="7"/>
  <c r="AC19" i="7"/>
  <c r="AC3" i="13"/>
  <c r="AD35" i="5"/>
  <c r="AC20" i="12"/>
  <c r="AB6" i="13"/>
  <c r="AB6" i="7"/>
  <c r="AB16" i="12"/>
  <c r="AC12" i="5"/>
  <c r="AA24" i="12"/>
  <c r="AJ24" i="12"/>
  <c r="AJ26" i="7"/>
  <c r="AJ3" i="13"/>
  <c r="AJ19" i="7"/>
  <c r="AJ20" i="12"/>
  <c r="AK35" i="5"/>
  <c r="AI6" i="7"/>
  <c r="AI6" i="13"/>
  <c r="AJ12" i="5"/>
  <c r="AI16" i="12"/>
  <c r="AH24" i="12"/>
  <c r="AG24" i="12"/>
  <c r="AF24" i="12"/>
  <c r="AF3" i="13"/>
  <c r="AF26" i="7"/>
  <c r="AF19" i="7"/>
  <c r="AF20" i="12"/>
  <c r="AG35" i="5"/>
  <c r="AE6" i="13"/>
  <c r="AE6" i="7"/>
  <c r="AE16" i="12"/>
  <c r="AF12" i="5"/>
  <c r="AD24" i="12"/>
  <c r="AC24" i="12"/>
  <c r="AB24" i="12"/>
  <c r="AB19" i="7"/>
  <c r="AB3" i="13"/>
  <c r="AB26" i="7"/>
  <c r="AB20" i="12"/>
  <c r="AC35" i="5"/>
  <c r="AB12" i="5"/>
  <c r="AA16" i="12"/>
  <c r="AA6" i="13"/>
  <c r="AA6" i="7"/>
  <c r="Z24" i="12"/>
  <c r="B6" i="2"/>
</calcChain>
</file>

<file path=xl/sharedStrings.xml><?xml version="1.0" encoding="utf-8"?>
<sst xmlns="http://schemas.openxmlformats.org/spreadsheetml/2006/main" count="777" uniqueCount="593">
  <si>
    <t>TAIRO — MODÈLE FINANCIER 3 ÉTATS (P&amp;L, trésorerie, bilan)</t>
  </si>
  <si>
    <t>OBJET</t>
  </si>
  <si>
    <t>Modélisation financière 3 ans (M1–M36) de la startup Tairo — marketplace de services (Ampio),</t>
  </si>
  <si>
    <t>location de matériel (Ampindramo) et formation vidéo (Ampianaro) à Madagascar. Devise : Ariary (MGA), hors taxes.</t>
  </si>
  <si>
    <t>MODÈLE ÉCONOMIQUE</t>
  </si>
  <si>
    <t>1. Abonnement prestataire Ampio+ : 24 000 Ar/mois (indexé), souscrit par une part paramétrable des prestataires actifs (10 % par défaut).</t>
  </si>
  <si>
    <t>2. Commissions sur prestations, prélevées sur le prestataire : 10 % (Plomberie, Mécanique, Électricité, Jardinage,</t>
  </si>
  <si>
    <t xml:space="preserve">   Agriculture, Ménage, Irakiraka, Bricolage, BTP, Couture), 15 % (Cuisine), 20 % (Déménagement),</t>
  </si>
  <si>
    <t xml:space="preserve">   25 % (Informatique, Transport, Evénementiel, Animaux, Arts, Musiques) — mix paramétrable dans Parametres.</t>
  </si>
  <si>
    <t>3. Location entre particuliers : 13 % sur le loueur (caution non commissionnée).</t>
  </si>
  <si>
    <t>4. Location professionnelle : paliers sur le total — 30 % (≤ 25 000 Ar), 20 % (25 001–45 000 Ar), 15 % (&gt; 45 000 Ar).</t>
  </si>
  <si>
    <t>5. Mise en ligne de vidéos Ampianaro B2B : 64 000 Ar/mois par client professionnel.</t>
  </si>
  <si>
    <t>6. Coûts variables : commission Mobile Money 3 % du montant de chaque transaction (abonnement Ampio+, GMV prestations, GMV locations). Exclu : service vidéo. SMS (2 × 35,71 Ar) : prestations Ampio et locations C2C. Support 1 000 Ar/transaction, vérification 3 000 Ar/nouveau client, litiges 1 % du GMV.</t>
  </si>
  <si>
    <t>NORMES IFRS APPLIQUÉES</t>
  </si>
  <si>
    <t>— IFRS 15 : Tairo agit comme AGENT sur les transactions ; le chiffre d'affaires = commissions + abonnements.</t>
  </si>
  <si>
    <t xml:space="preserve">   Le GMV (volume brut des transactions) est suivi comme KPI mais n'est PAS du chiffre d'affaires.</t>
  </si>
  <si>
    <t>— IAS 16 / IAS 38 : immobilisations corporelles (ordinateurs) et incorporelles (design UI/UX), amortissement linéaire 5 ans.</t>
  </si>
  <si>
    <t>— IAS 7 : tableau des flux de trésorerie en méthode directe ; intérêts payés en flux opérationnels.</t>
  </si>
  <si>
    <t>FISCALITÉ (Madagascar, Loi de finances 2026)</t>
  </si>
  <si>
    <t>— CA annuel &lt; 200 000 000 Ar : Impôt Synthétique = 5 % du chiffre d'affaires.</t>
  </si>
  <si>
    <t>— CA annuel ≥ 200 000 000 Ar : régime réel, IR = 20 % du bénéfice (minimum de perception 1 000 000 Ar + 1 % du CA — Code des impôts ; inactif tant que le CA reste sous le seuil). Entre 200 et 400 M, option réel / TVA (LF 2026) non modélisée. Taux IS réduit 3 % (nouveaux CGA / immatriculés) : note, non chiffré.</t>
  </si>
  <si>
    <t>— Le classeur bascule automatiquement entre les deux régimes selon le CA annuel calculé.</t>
  </si>
  <si>
    <t>SOURCES</t>
  </si>
  <si>
    <t>— Taux de commission, prix d'abonnement et paliers : code de l'application Tairo (app/lib/economy.ts).</t>
  </si>
  <si>
    <t>— Fiscalité : Code général des impôts malgache / Loi de finances 2026.</t>
  </si>
  <si>
    <t>MODE D'EMPLOI</t>
  </si>
  <si>
    <t>1. Choisir le scénario dans Parametres!B2 (1 = Prudent, 2 = Base, 3 = Optimiste) — tout se recalcule.</t>
  </si>
  <si>
    <t>2. Cellules à texte BLEU sur fond JAUNE : hypothèses modifiables ; texte NOIR : calculs ; texte VERT : références vers un autre onglet.</t>
  </si>
  <si>
    <t>3. Le Dashboard, le P&amp;L, la trésorerie et les KPI se mettent à jour automatiquement (aucune saisie manuelle).</t>
  </si>
  <si>
    <t>4. Acquisition, offre / capacité, lancement, collab 2 et financement se règlent dans Parametres (sections 9, 10, 11, 14, 16) ; le stress test dans la section 18 (interrupteur unique).</t>
  </si>
  <si>
    <t>CHANGEMENTS DE CETTE VERSION (refonte offre / acquisition / coûts)</t>
  </si>
  <si>
    <t>— Offre modélisée par onboarding et churn (prestataires, loueurs pro, annonces C2C) ; la capacité (actifs × max × fill rate max) PLAFONNE les volumes réalisés. Les anciens KPI de liquidité tautologiques (offre proportionnelle au volume, fill rate saisi) sont supprimés.</t>
  </si>
  <si>
    <t>— Ampio+ fusionné avec l'offre : abonnés = pénétration (10 %) × prestataires actifs. Plus de stock d'abonnés ni de churn Ampio+ autonomes.</t>
  </si>
  <si>
    <t>— Acquisition → croissance : budget publicité saisi par année (400 k / 500 k / 600 k Ar/mois) ; la croissance mensuelle = taux de base × (budget du mois précédent / budget de référence)^élasticité (0,5), borné 0,5–1,5. Le cold-start (plancher pub, règle 6 % du CA) est retiré ; la subvention d'offre (take rate −2 points M1–M6) est conservée et son bug corrigé (saisie 2 → 0,02).</t>
  </si>
  <si>
    <t>— Ralentissement après A1 : vidéo 5 % → 4 % → 3 % ; prestations 2 % → 2,5 % → 2 % (l'accélération à 3 % est retirée).</t>
  </si>
  <si>
    <t>— Indexation annuelle des prix (abonnement, vidéo) : 8 %, alignée sur l'inflation des coûts (nouveau paramètre, section 6).</t>
  </si>
  <si>
    <t>— Charges patronales 18 % (CNaPS 13 % + organisation sanitaire 5 %) sur tous les salaires, incluses dans les OPEX et le besoin de financement.</t>
  </si>
  <si>
    <t>— Unit economics : LTV bornée à 36 mois ; commissions partagées 50/50 entre offre et demande ; CAC offre sur les prestataires et loueurs réellement onboardés.</t>
  </si>
  <si>
    <t>— Financement : bloc ASK (financement externe recherché = besoin − apport, ventilation indicative equity / dette) ; sécurité rétablie à 3 mois de charges fixes ; libellé de couverture dynamique.</t>
  </si>
  <si>
    <t>— Corrections techniques : le choc OPEX du stress test pointait vers des cellules déplacées (désactivé silencieusement) ; idem pour le choc CAPEX dans Financement. Toutes les formules sont régénérées à partir de paramètres nommés.</t>
  </si>
  <si>
    <t>— Plancher IR 1 M + 1 % CA ; impôt comptabilisé et payé au mois 12 de chaque exercice (inchangé).</t>
  </si>
  <si>
    <t>RULE OF 40</t>
  </si>
  <si>
    <t>— Définition : croissance YoY du CA IFRS 15 + marge EBITDA, par année civile du modèle. Cible 40 %. Pas de GMV dans le score.</t>
  </si>
  <si>
    <t>BILAN SIMPLIFIÉ</t>
  </si>
  <si>
    <t>— Actif = VNC + trésorerie. Passif = emprunt restant + apport + RN cumulé. Contrôle coloré si |écart| &gt; 1 Ar.</t>
  </si>
  <si>
    <t>CONVENTION DE COULEUR (saisie)</t>
  </si>
  <si>
    <t>— Texte bleu + fond jaune : hypothèse. Texte noir : calcul. Texte vert : lien vers un autre onglet.</t>
  </si>
  <si>
    <t>LECTURE DES RÉSULTATS BASE (valeurs recalculées du classeur, stress off)</t>
  </si>
  <si>
    <t>— CA A1 / A2 / A3 : 21,7 / 38,1 / 63,5 M Ar ; EBITDA : -16,0 / -4,2 / 8,9 M Ar ; résultat net : -21,6 / -10,0 / 2,6 M Ar.</t>
  </si>
  <si>
    <t>— Premier mois EBITDA &gt; 0 : M22 ; embauche du collab 2 : M25 ; prestataires actifs fin A3 : 122 (utilisation de la capacité 17% — offre excédentaire, aucune demande non servie).</t>
  </si>
  <si>
    <t>— Financement : besoin initial 52,0 M Ar = CAPEX 4,9 + 12 mois de charges 38,7 + sécurité 3 mois 8,4 ; apport 9 M ; ASK 43,0 M Ar (modélisé en emprunt 9 % / 60 mois, mensualité 893 k).</t>
  </si>
  <si>
    <t>— Trésorerie minimale / fin M36 : -2,4 / -2,4 M Ar → couverture du matelas de sécurité : INSUFFISANT (cible 8,4 M). Capital restant dû fin M36 : 19,5 M Ar.</t>
  </si>
  <si>
    <t>— Lecture : avec l'ensemble du financement externe porté en dette, le service de l'emprunt (≈ 32 M Ar sur 36 mois) consomme la trésorerie levée. Convertir la part « equity » de l'Ask en fonds propres, allonger la durée ou réduire le budget publicité rétablit le matelas — voir leviers ci-dessous.</t>
  </si>
  <si>
    <t>PLANCHER DE CAISSE : lire Financement, bloc « Validation 3 ans » — pic de besoin cumulé avant financement, trésorerie minimale après service de la dette, couverture OK / INSUFFISANT et financement externe minimum indicatif. Leviers : apport (Parametres!B139), mois financés / sécurité (B140, B141), durée de l'emprunt (B144), budget publicité (section 9), salaires (section 13).</t>
  </si>
  <si>
    <t>DASHBOARD — Tairo, modèle 3 états (MGA)</t>
  </si>
  <si>
    <t>Scénario actif :</t>
  </si>
  <si>
    <t>ACTIVITÉ</t>
  </si>
  <si>
    <t>Chiffre d'affaires Année 1</t>
  </si>
  <si>
    <t>Chiffre d'affaires Année 2</t>
  </si>
  <si>
    <t>Chiffre d'affaires Année 3</t>
  </si>
  <si>
    <t>Croissance CA A2 / A1</t>
  </si>
  <si>
    <t>Croissance CA A3 / A2</t>
  </si>
  <si>
    <t>GMV Année 3</t>
  </si>
  <si>
    <t>Take rate moyen Année 3</t>
  </si>
  <si>
    <t>MRR fin Année 3</t>
  </si>
  <si>
    <t>ARR fin Année 3</t>
  </si>
  <si>
    <t>RENTABILITÉ</t>
  </si>
  <si>
    <t>Marge de contribution Année 3</t>
  </si>
  <si>
    <t>EBITDA Année 3</t>
  </si>
  <si>
    <t>Résultat net Année 1</t>
  </si>
  <si>
    <t>Résultat net Année 2</t>
  </si>
  <si>
    <t>Résultat net Année 3</t>
  </si>
  <si>
    <t>Seuil de rentabilité mensuel (CA, moyenne 36 mois)</t>
  </si>
  <si>
    <t>Premier mois EBITDA &gt; 0</t>
  </si>
  <si>
    <t>Premier mois de résultat net cumulé positif</t>
  </si>
  <si>
    <t>UNIT ECONOMICS &amp; OFFRE</t>
  </si>
  <si>
    <t>CAC offre Année 3</t>
  </si>
  <si>
    <t>CAC demande Année 3</t>
  </si>
  <si>
    <t>LTV / CAC offre fin A3 (cible &gt; 3, LTV bornée 36 mois)</t>
  </si>
  <si>
    <t>LTV / CAC demande fin A3 (cible &gt; 3)</t>
  </si>
  <si>
    <t>Prestataires Ampio actifs fin A3</t>
  </si>
  <si>
    <t>Utilisation capacité Ampio fin A3 (alerte si ≥ fill rate max)</t>
  </si>
  <si>
    <t>GMV perdu faute d'offre sur 3 ans</t>
  </si>
  <si>
    <t>Mois d'activation collaborateur 2 (ou &gt; 36)</t>
  </si>
  <si>
    <t>FINANCEMENT &amp; TRÉSORERIE</t>
  </si>
  <si>
    <t>Besoin de financement initial (CAPEX + démarrage + sécurité)</t>
  </si>
  <si>
    <t>Apport en fonds propres</t>
  </si>
  <si>
    <t>ASK — financement externe recherché</t>
  </si>
  <si>
    <t xml:space="preserve">   dont equity / quasi-fonds propres (indicatif)</t>
  </si>
  <si>
    <t xml:space="preserve">   dont dette (indicatif) — modélisé en emprunt</t>
  </si>
  <si>
    <t>Mensualité de l'emprunt</t>
  </si>
  <si>
    <t>Trésorerie fin Année 3</t>
  </si>
  <si>
    <t>Trésorerie minimale sur 36 mois</t>
  </si>
  <si>
    <t>Cible : matelas de sécurité</t>
  </si>
  <si>
    <t>Couverture du matelas de sécurité</t>
  </si>
  <si>
    <t>Capital restant dû fin M36</t>
  </si>
  <si>
    <t>Taux de liquidité fin A3 (cible &gt; 1)</t>
  </si>
  <si>
    <t>CONTRÔLES</t>
  </si>
  <si>
    <t>Rule of 40 Année 3 (indicatif, base petite)</t>
  </si>
  <si>
    <t>Contrôle bilan max |écart| (Ar)</t>
  </si>
  <si>
    <t>Contrôle contribution vs P&amp;L max |écart| (Ar)</t>
  </si>
  <si>
    <t>Contrôle mix take rate prestations (doit = 100 %)</t>
  </si>
  <si>
    <t>TAIRO — HYPOTHÈSES (MGA HT) — MODÈLE 3 ÉTATS</t>
  </si>
  <si>
    <t>Scénario actif (1 = Prudent, 2 = Base, 3 = Optimiste)</t>
  </si>
  <si>
    <t>Nom du scénario</t>
  </si>
  <si>
    <t>1 · REVENUS — PRESTATIONS (Tairo Ampio, cœur du modèle — commission prélevée sur le prestataire)</t>
  </si>
  <si>
    <t>Libellé</t>
  </si>
  <si>
    <t>Valeur base</t>
  </si>
  <si>
    <t>Unité</t>
  </si>
  <si>
    <t>Valeur scénario</t>
  </si>
  <si>
    <t>Note</t>
  </si>
  <si>
    <t>Prestations demandées au mois 1</t>
  </si>
  <si>
    <t>prestations/mois</t>
  </si>
  <si>
    <t>Demande brute. Les prestations réalisées = MIN(demande, capacité de l'offre) — voir section 10.</t>
  </si>
  <si>
    <t>Panier moyen d'une prestation (année 1)</t>
  </si>
  <si>
    <t>Ar</t>
  </si>
  <si>
    <t>Indexé chaque année sur l'inflation des coûts variables (section 6).</t>
  </si>
  <si>
    <t>Part du GMV — catégories à 10 % (Plomberie, Ménage, BTP…)</t>
  </si>
  <si>
    <t>% GMV</t>
  </si>
  <si>
    <t>Part du GMV — catégories à 15 % (Cuisine)</t>
  </si>
  <si>
    <t>Part du GMV — catégories à 20 % (Déménagement)</t>
  </si>
  <si>
    <t>Part du GMV — catégories à 25 % (Informatique, Transport…)</t>
  </si>
  <si>
    <t>Take rate moyen services (calculé)</t>
  </si>
  <si>
    <t>%</t>
  </si>
  <si>
    <t>Contrôle mix (doit = 100 %)</t>
  </si>
  <si>
    <t>2 · REVENUS — ABONNEMENT Ampio+ (fusionné avec l'offre : part des prestataires actifs abonnés)</t>
  </si>
  <si>
    <t>Prix de l'abonnement mensuel (année 1)</t>
  </si>
  <si>
    <t>Ar/mois</t>
  </si>
  <si>
    <t>Indexé chaque année (section 6).</t>
  </si>
  <si>
    <t>Part des prestataires actifs abonnés à Ampio+ (pénétration)</t>
  </si>
  <si>
    <t>Remplace l'ancien stock d'abonnés autonome (5 abonnés, churn 6 %) : les abonnés suivent désormais le nombre de prestataires actifs (section 10).</t>
  </si>
  <si>
    <t>3 · REVENUS — MISE EN LIGNE VIDÉO (Tairo Ampianaro B2B, clients professionnels)</t>
  </si>
  <si>
    <t>Prix mensuel du service vidéo (année 1)</t>
  </si>
  <si>
    <t>Clients vidéo actifs au mois 1</t>
  </si>
  <si>
    <t>clients</t>
  </si>
  <si>
    <t>Churn mensuel clients vidéo</t>
  </si>
  <si>
    <t>%/mois</t>
  </si>
  <si>
    <t>4 · REVENUS — LOCATION MATÉRIEL PRO (Ampindramo PRO, commission par paliers)</t>
  </si>
  <si>
    <t>Locations pro demandées au mois 1</t>
  </si>
  <si>
    <t>locations/mois</t>
  </si>
  <si>
    <t>Loyer total moyen d'une location pro (année 1)</t>
  </si>
  <si>
    <t>Part du GMV — total ≤ 25 000 Ar (taux 30 %)</t>
  </si>
  <si>
    <t>Part du GMV — 25 001 à 45 000 Ar (taux 20 %)</t>
  </si>
  <si>
    <t>Part du GMV — &gt; 45 000 Ar (taux 15 %)</t>
  </si>
  <si>
    <t>Take rate moyen location pro (calculé)</t>
  </si>
  <si>
    <t>5 · REVENUS — LOCATION MATÉRIEL PARTICULIERS (Ampindramo C2C)</t>
  </si>
  <si>
    <t>Locations particuliers demandées au mois 1</t>
  </si>
  <si>
    <t>Loyer total moyen (année 1)</t>
  </si>
  <si>
    <t>Taux de commission particuliers (fixe, hors caution)</t>
  </si>
  <si>
    <t>6 · INDEXATION DES PRIX &amp; INFLATION (pas annuel, appliqué à chaque nouvelle année du plan)</t>
  </si>
  <si>
    <t>Indexation annuelle des prix (abonnement Ampio+, service vidéo)</t>
  </si>
  <si>
    <t>%/an</t>
  </si>
  <si>
    <t>Aligné par défaut sur l'inflation des coûts pour éviter la compression silencieuse des marges.</t>
  </si>
  <si>
    <t>Inflation annuelle des coûts variables et des paniers / loyers moyens</t>
  </si>
  <si>
    <t>Inflation annuelle des OPEX (salaires, loyer, tech, accompagnement)</t>
  </si>
  <si>
    <t>7 · CROISSANCE MENSUELLE DE LA DEMANDE — PAR ANNÉE, AU BUDGET D'ACQUISITION DE RÉFÉRENCE (ralentissement après A1)</t>
  </si>
  <si>
    <t>Segment</t>
  </si>
  <si>
    <t>Année 1 (base)</t>
  </si>
  <si>
    <t>Année 2 (base)</t>
  </si>
  <si>
    <t>Année 3 (base)</t>
  </si>
  <si>
    <t>Année 1 (actif)</t>
  </si>
  <si>
    <t>Année 2 (actif)</t>
  </si>
  <si>
    <t>Année 3 (actif)</t>
  </si>
  <si>
    <t>Clients vidéo B2B</t>
  </si>
  <si>
    <t>Ralentissement introduit : 5 % → 4 % → 3 %. Multiplié par le facteur d'acquisition (section 9).</t>
  </si>
  <si>
    <t>Prestations Ampio (demande)</t>
  </si>
  <si>
    <t>2 % pré-PMF, 2,5 % en A2 si collab 2 actif (sinon plafond section 8), 2 % en A3. L'accélération à 3 % a été retirée.</t>
  </si>
  <si>
    <t>Locations pro (demande)</t>
  </si>
  <si>
    <t>Même logique de plafond que les prestations tant que collab 2 absent.</t>
  </si>
  <si>
    <t>Locations particuliers C2C (demande)</t>
  </si>
  <si>
    <t>C2C plus lent (confiance, caution, concurrence WhatsApp/Facebook). Pas de bonus d'embauche.</t>
  </si>
  <si>
    <t>8 · PLAFOND DE CROISSANCE SI COLLAB 2 ABSENT (années 2–3)</t>
  </si>
  <si>
    <t>Prestations Ampio — MoM tant que collab 2 inactif</t>
  </si>
  <si>
    <t>Sans 3e personne, l'onboarding n'accélère pas. C2C non plafonné.</t>
  </si>
  <si>
    <t>Locations pro — MoM tant que collab 2 inactif</t>
  </si>
  <si>
    <t>9 · ACQUISITION — BUDGET PUBLICITÉ PAR ANNÉE ET LIEN AVEC LA CROISSANCE (élasticité)</t>
  </si>
  <si>
    <t>Budget publicité / acquisition — année 1</t>
  </si>
  <si>
    <t>Remplace la règle « 6 % du CA » et le plancher cold-start. Saisi par année, non indexé.</t>
  </si>
  <si>
    <t>Budget publicité / acquisition — année 2</t>
  </si>
  <si>
    <t>Budget publicité / acquisition — année 3</t>
  </si>
  <si>
    <t>Budget de référence (celui auquel la table de croissance section 7 est calibrée)</t>
  </si>
  <si>
    <t>Élasticité de la croissance au budget (croissance × (budget M-1 / référence)^élasticité)</t>
  </si>
  <si>
    <t>coef.</t>
  </si>
  <si>
    <t>0,5 = rendements décroissants : doubler le budget augmente la croissance de 41 %. Budget du mois précédent (pas de circularité).</t>
  </si>
  <si>
    <t>Borne basse du multiplicateur de croissance</t>
  </si>
  <si>
    <t>Borne haute du multiplicateur de croissance</t>
  </si>
  <si>
    <t>Part de l'accompagnement marketing (OPEX) dédiée à l'acquisition (CAC)</t>
  </si>
  <si>
    <t>Part du temps fondateur dédié à l'acquisition (valorisée dans le CAC)</t>
  </si>
  <si>
    <t>Part des transactions réalisées issues de nouveaux clients (demande)</t>
  </si>
  <si>
    <t>Hypothèse à valider avec les données d'usage.</t>
  </si>
  <si>
    <t>Nombre moyen de transactions par nouveau client (par mois)</t>
  </si>
  <si>
    <t>transactions/client/mois</t>
  </si>
  <si>
    <t>Durée de vie moyenne d'un client transactionnel (mois)</t>
  </si>
  <si>
    <t>mois</t>
  </si>
  <si>
    <t>Clients ponctuels de la marketplace, moins engagés qu'un abonnement.</t>
  </si>
  <si>
    <t>Part du budget d'acquisition allouée à la DEMANDE</t>
  </si>
  <si>
    <t>Part du budget d'acquisition allouée à l'OFFRE</t>
  </si>
  <si>
    <t>Standard marketplace : acquérir la demande coûte plus cher.</t>
  </si>
  <si>
    <t>Contrôle split (doit = 100 %)</t>
  </si>
  <si>
    <t>10 · OFFRE — PRESTATAIRES, LOUEURS, ANNONCES (onboarding, churn, capacité CONTRAIGNANTE)</t>
  </si>
  <si>
    <t>Prestataires Ampio actifs au mois 1</t>
  </si>
  <si>
    <t>prestataires</t>
  </si>
  <si>
    <t>Prestataires onboardés par mois — sans collab 2</t>
  </si>
  <si>
    <t>prestataires/mois</t>
  </si>
  <si>
    <t>Capacité d'onboarding du fondateur + collab 1.</t>
  </si>
  <si>
    <t>Prestataires onboardés par mois — avec collab 2</t>
  </si>
  <si>
    <t>Le collab 2 est dédié au support / onboarding.</t>
  </si>
  <si>
    <t>Churn mensuel des prestataires</t>
  </si>
  <si>
    <t>Prestations max par prestataire et par mois</t>
  </si>
  <si>
    <t>jobs/pers/mois</t>
  </si>
  <si>
    <t>Loueurs pro actifs au mois 1</t>
  </si>
  <si>
    <t>loueurs</t>
  </si>
  <si>
    <t>Loueurs pro onboardés par mois — sans collab 2</t>
  </si>
  <si>
    <t>loueurs/mois</t>
  </si>
  <si>
    <t>Loueurs pro onboardés par mois — avec collab 2</t>
  </si>
  <si>
    <t>Churn mensuel des loueurs pro</t>
  </si>
  <si>
    <t>Locations max par loueur et par mois</t>
  </si>
  <si>
    <t>loc/mois</t>
  </si>
  <si>
    <t>Annonces C2C actives au mois 1</t>
  </si>
  <si>
    <t>annonces</t>
  </si>
  <si>
    <t>Nouvelles annonces C2C par mois</t>
  </si>
  <si>
    <t>annonces/mois</t>
  </si>
  <si>
    <t>Non lié au collab 2 (peu d'onboarding).</t>
  </si>
  <si>
    <t>Churn mensuel des annonces C2C</t>
  </si>
  <si>
    <t>Locations max par annonce et par mois</t>
  </si>
  <si>
    <t>Taux d'utilisation maximal de la capacité (fill rate max)</t>
  </si>
  <si>
    <t>Volumes réalisés = MIN(demande, offre × max × fill max). Remplace la rampe de fill rate saisie et les KPI de liquidité tautologiques.</t>
  </si>
  <si>
    <t>11 · LANCEMENT (M1–M6) — subvention d'offre sur les prestations</t>
  </si>
  <si>
    <t>Durée de la phase de lancement</t>
  </si>
  <si>
    <t>Réduction du take rate Ampio pendant le lancement</t>
  </si>
  <si>
    <t>% (0,02 = 2 points)</t>
  </si>
  <si>
    <t>Corrigé : était saisi « 2 » (200 points), ce qui annulait tout le CA commissions M1–M6. Mix 13,25 % → 11,25 %.</t>
  </si>
  <si>
    <t>12 · COÛTS VARIABLES — COGS ET COÛTS OPÉRATIONNELS LIÉS AU VOLUME</t>
  </si>
  <si>
    <t>SMS de notification (2 × 35,71 Ar) — prestations Ampio + locations C2C</t>
  </si>
  <si>
    <t>Ar/transaction</t>
  </si>
  <si>
    <t>Commission Mobile Money par transaction</t>
  </si>
  <si>
    <t>3 % du montant brut : CA abonnements Ampio+, GMV prestations, GMV locations pro et C2C. Exclut le service vidéo (paiement B2B).</t>
  </si>
  <si>
    <t>Support / modération par transaction (Ampio + loc pro + C2C)</t>
  </si>
  <si>
    <t>Vérification / onboarding d'un nouveau client (prestataire, loueur, client vidéo, client demande)</t>
  </si>
  <si>
    <t>Ar/nouveau</t>
  </si>
  <si>
    <t>Provision remboursements / litiges</t>
  </si>
  <si>
    <t>% du GMV</t>
  </si>
  <si>
    <t>13 · OPEX MENSUEL (charges fixes, année 1)</t>
  </si>
  <si>
    <t>Loyer et domiciliation</t>
  </si>
  <si>
    <t>Wezara</t>
  </si>
  <si>
    <t>Salaire brut fondateur</t>
  </si>
  <si>
    <t>Salaire brut collaborateur 1</t>
  </si>
  <si>
    <t>Taux de charges patronales (CNaPS 13 % + organisation sanitaire 5 %)</t>
  </si>
  <si>
    <t>% des salaires bruts</t>
  </si>
  <si>
    <t>Appliqué à tous les salaires (fondateur, collab 1, collab 2).</t>
  </si>
  <si>
    <t>Charges patronales fondateur + collab 1 (calculé)</t>
  </si>
  <si>
    <t>Hébergement web</t>
  </si>
  <si>
    <t>Simafri</t>
  </si>
  <si>
    <t>Object Storage</t>
  </si>
  <si>
    <t>Cloudflare R2</t>
  </si>
  <si>
    <t>Modération</t>
  </si>
  <si>
    <t>Crédit data</t>
  </si>
  <si>
    <t>Marketing — accompagnement (fixe, hors budget publicité section 9)</t>
  </si>
  <si>
    <t>TOTAL OPEX mensuel (année 1, charges patronales incluses, hors publicité et collab 2)</t>
  </si>
  <si>
    <t>Base du besoin de démarrage et de la trésorerie de sécurité (Financement).</t>
  </si>
  <si>
    <t>14 · CAPACITÉ D'EXÉCUTION — 2E COLLABORATEUR (embauche + déclencheur de trésorerie)</t>
  </si>
  <si>
    <t>Salaire brut mensuel collab 2 (base, avant inflation ; charges patronales ajoutées au P&amp;L)</t>
  </si>
  <si>
    <t>Mois minimum d'embauche</t>
  </si>
  <si>
    <t>n° de mois (1-36)</t>
  </si>
  <si>
    <t>L'embauche réelle = 1er mois ≥ ce mois où trésorerie &gt; plancher ET EBITDA &gt; 0 pendant N mois consécutifs (décalage d'un mois). Poste conservé ensuite.</t>
  </si>
  <si>
    <t>Plancher de trésorerie exigé pour embaucher (référence section 16)</t>
  </si>
  <si>
    <t>Nombre de mois consécutifs exigés</t>
  </si>
  <si>
    <t>Exiger aussi EBITDA mensuel &gt; 0 (1 = oui)</t>
  </si>
  <si>
    <t>0/1</t>
  </si>
  <si>
    <t>Les deux conditions portent sur les mois strictement antérieurs.</t>
  </si>
  <si>
    <t>15 · CAPEX (investissements)</t>
  </si>
  <si>
    <t>Équipement</t>
  </si>
  <si>
    <t>Quantité</t>
  </si>
  <si>
    <t>PU (Ar TTC)</t>
  </si>
  <si>
    <t>Total (Ar)</t>
  </si>
  <si>
    <t>Durée (ans)</t>
  </si>
  <si>
    <t>Ordinateur portable (IAS 16 — corporelle)</t>
  </si>
  <si>
    <t>Ordinateur windows</t>
  </si>
  <si>
    <t>Design graphique UI/UX (IAS 38 — incorporelle)</t>
  </si>
  <si>
    <t>TOTAL CAPEX</t>
  </si>
  <si>
    <t>16 · FINANCEMENT</t>
  </si>
  <si>
    <t>Apport des fondateurs. Le solde du besoin (Ask) est modélisé en emprunt dans la trésorerie.</t>
  </si>
  <si>
    <t>Besoin de démarrage — nombre de mois de charges couverts</t>
  </si>
  <si>
    <t>N mois × (OPEX fixes chargés + budget publicité A1 + coûts variables du mois 1). Calcul dans Financement.</t>
  </si>
  <si>
    <t>Trésorerie de sécurité — nombre de mois d'OPEX fixes</t>
  </si>
  <si>
    <t>Cible de la validation 3 ans : la trésorerie ne doit jamais passer sous ce matelas.</t>
  </si>
  <si>
    <t>Plancher de trésorerie pour l'embauche du collaborateur 2</t>
  </si>
  <si>
    <t>Découplé de la trésorerie de sécurité ; utilisé uniquement par le déclencheur d'embauche (section 14).</t>
  </si>
  <si>
    <t>Taux d'emprunt annuel</t>
  </si>
  <si>
    <t>Durée de l'emprunt (mois)</t>
  </si>
  <si>
    <t>Si &gt; 36, le capital restant dû au mois 36 est affiché dans Financement et au Bilan.</t>
  </si>
  <si>
    <t>Ask — part visée auprès d'investisseurs (equity / quasi-fonds propres), indicatif</t>
  </si>
  <si>
    <t>Ventilation de présentation uniquement : la trésorerie modélise l'ensemble du financement externe en emprunt (mécanique inchangée).</t>
  </si>
  <si>
    <t>Référence V2.3 — apport calé à la main pour un plancher de 1 M Ar (documentation)</t>
  </si>
  <si>
    <t>Ancien apport itéré manuellement. Comparé au besoin réel calculé (Financement, bloc Validation 3 ans).</t>
  </si>
  <si>
    <t>17 · FISCALITÉ MADAGASCAR (LF 2026) — IS SYNTHÉTIQUE / IR RÉGIME RÉEL</t>
  </si>
  <si>
    <t>Seuil de passage au régime réel (CA annuel)</t>
  </si>
  <si>
    <t>Ar/an</t>
  </si>
  <si>
    <t>Taux Impôt Synthétique si CA &lt; seuil (sur le CA)</t>
  </si>
  <si>
    <t>% CA</t>
  </si>
  <si>
    <t>Taux IR si CA ≥ seuil (sur le bénéfice)</t>
  </si>
  <si>
    <t>% bénéfice</t>
  </si>
  <si>
    <t>Minimum de perception IR — part fixe (régime réel uniquement)</t>
  </si>
  <si>
    <t>Code des impôts : 1 000 000 Ar pour les « autres entreprises ». Inactif tant que CA &lt; seuil.</t>
  </si>
  <si>
    <t>Minimum de perception IR — % du CA (régime réel uniquement)</t>
  </si>
  <si>
    <t>18 · STRESS TEST — SCÉNARIO DÉGRADÉ COMBINÉ (indépendant de Prudent / Base / Optimiste)</t>
  </si>
  <si>
    <t>Valeur</t>
  </si>
  <si>
    <t>Activer le stress test (1 = oui, 0 = non)</t>
  </si>
  <si>
    <t>Interrupteur unique : bascule sur 1 pour appliquer tous les chocs ci-dessous.</t>
  </si>
  <si>
    <t>Choc de demande / volumes de départ (réduction)</t>
  </si>
  <si>
    <t>Appliqué aux volumes et à l'offre du mois 1 de chaque segment.</t>
  </si>
  <si>
    <t>Retard de lancement (croissance de la demande gelée)</t>
  </si>
  <si>
    <t>Choc OPEX (hausse) — appliqué aux charges fixes et coûts opérationnels</t>
  </si>
  <si>
    <t>Choc CAPEX (hausse)</t>
  </si>
  <si>
    <t>Taux d'impayé sur encaissements</t>
  </si>
  <si>
    <t>Réduction du take rate (points, 0,025 = 2,5 points)</t>
  </si>
  <si>
    <t>Délai d'encaissement client</t>
  </si>
  <si>
    <t>mois (≈30 jours)</t>
  </si>
  <si>
    <t>SCÉNARIOS — multiplicateurs appliqués aux paramètres de base</t>
  </si>
  <si>
    <t>Le scénario actif se choisit dans Parametres!B2. Colonne « Actif » = multiplicateur appliqué.</t>
  </si>
  <si>
    <t>Multiplicateur</t>
  </si>
  <si>
    <t>Prudent (P10)</t>
  </si>
  <si>
    <t>Base (P50)</t>
  </si>
  <si>
    <t>Optimiste (P90)</t>
  </si>
  <si>
    <t>Actif</t>
  </si>
  <si>
    <t>Volumes de départ (clients, transactions)</t>
  </si>
  <si>
    <t>Croissance mensuelle</t>
  </si>
  <si>
    <t>Paniers moyens / prix transactionnels</t>
  </si>
  <si>
    <t>Churn (attrition)</t>
  </si>
  <si>
    <t>OPEX (charges fixes)</t>
  </si>
  <si>
    <t>Note : pour comparer les scénarios, changer Parametres!B2 (1/2/3) — tout le classeur (Plan ventes, P&amp;L, Trésorerie, KPI, Dashboard) se recalcule automatiquement.</t>
  </si>
  <si>
    <t>PLAN DE VENTES — acquisition, offre (capacité contraignante), demande, GMV, CA (M1–M36) + flag embauche</t>
  </si>
  <si>
    <t>Année</t>
  </si>
  <si>
    <t>Mois</t>
  </si>
  <si>
    <t>ACQUISITION → CROISSANCE</t>
  </si>
  <si>
    <t>Budget publicité / acquisition du mois (Ar, saisi par année — section 9)</t>
  </si>
  <si>
    <t>Multiplicateur de croissance lié au budget (élasticité, budget du mois précédent, borné)</t>
  </si>
  <si>
    <t>Croissance gelée (stress test : retard de lancement) — 1 = oui</t>
  </si>
  <si>
    <t>OFFRE &amp; DEMANDE — PRESTATIONS AMPIO (prestataires, capacité, GMV, commissions, abonnements Ampio+)</t>
  </si>
  <si>
    <t>Nouveaux prestataires onboardés (M1 = stock initial)</t>
  </si>
  <si>
    <t>Prestataires perdus (churn)</t>
  </si>
  <si>
    <t>Prestataires actifs (stock × (1 − churn) + nouveaux)</t>
  </si>
  <si>
    <t>Capacité mensuelle (actifs × max par mois × fill rate max)</t>
  </si>
  <si>
    <t>Abonnés Ampio+ (pénétration × prestataires actifs)</t>
  </si>
  <si>
    <t>Prix de l'abonnement indexé</t>
  </si>
  <si>
    <t>CA abonnements Ampio+ (MRR)</t>
  </si>
  <si>
    <t>Demande (prestations) — croissance section 7 × multiplicateur acquisition</t>
  </si>
  <si>
    <t>Prestations réalisées = MIN(demande, capacité)</t>
  </si>
  <si>
    <t>Demande non servie (pénurie d'offre)</t>
  </si>
  <si>
    <t>Taux d'utilisation de la capacité brute (réalisées / (actifs × max))</t>
  </si>
  <si>
    <t>Panier / loyer moyen (indexé par an)</t>
  </si>
  <si>
    <t>GMV prestations</t>
  </si>
  <si>
    <t>CA commissions prestations (take rate mix − subvention de lancement M1–M6)</t>
  </si>
  <si>
    <t>MISE EN LIGNE VIDÉO — Ampianaro B2B (croissance ralentie A2/A3 × multiplicateur acquisition)</t>
  </si>
  <si>
    <t>Nouveaux clients vidéo (croissance nette + remplacement du churn)</t>
  </si>
  <si>
    <t>Clients perdus (churn)</t>
  </si>
  <si>
    <t>Clients vidéo actifs</t>
  </si>
  <si>
    <t>Prix du service vidéo indexé</t>
  </si>
  <si>
    <t>CA vidéo (MRR Ampianaro B2B)</t>
  </si>
  <si>
    <t>OFFRE &amp; DEMANDE — LOCATIONS PRO Ampindramo B2B2C (loueurs, capacité, paliers 30/20/15 %)</t>
  </si>
  <si>
    <t>Nouveaux loueurs pro onboardés (M1 = stock initial)</t>
  </si>
  <si>
    <t>Loueurs pro perdus (churn)</t>
  </si>
  <si>
    <t>Loueurs pro actifs (stock × (1 − churn) + nouveaux)</t>
  </si>
  <si>
    <t>Demande (locations pro) — croissance section 7 × multiplicateur acquisition</t>
  </si>
  <si>
    <t>Locations pro réalisées = MIN(demande, capacité)</t>
  </si>
  <si>
    <t>GMV locations pro</t>
  </si>
  <si>
    <t>CA commissions locations pro</t>
  </si>
  <si>
    <t>OFFRE &amp; DEMANDE — LOCATIONS PARTICULIERS Ampindramo C2C (annonces, capacité, 13 %)</t>
  </si>
  <si>
    <t>Nouvelles annonces C2C publiées (M1 = stock initial)</t>
  </si>
  <si>
    <t>Annonces C2C retirées (churn)</t>
  </si>
  <si>
    <t>Annonces C2C actives (stock × (1 − churn) + nouveaux)</t>
  </si>
  <si>
    <t>Demande (locations C2C) — croissance section 7 × multiplicateur acquisition</t>
  </si>
  <si>
    <t>Locations C2C réalisées = MIN(demande, capacité)</t>
  </si>
  <si>
    <t>GMV locations C2C</t>
  </si>
  <si>
    <t>CA commissions locations particuliers</t>
  </si>
  <si>
    <t>TOTAUX</t>
  </si>
  <si>
    <t>GMV total (prestations + locations)</t>
  </si>
  <si>
    <t>MRR (abonnements Ampio+ + vidéo)</t>
  </si>
  <si>
    <t>CA transactionnel (commissions)</t>
  </si>
  <si>
    <t>CHIFFRE D'AFFAIRES TOTAL (IFRS 15 — agent : commissions + abonnements)</t>
  </si>
  <si>
    <t>Transactions réalisées (prestations + locations pro + C2C)</t>
  </si>
  <si>
    <t>Nouveaux clients DEMANDE estimés (part transactions nouveaux ÷ transactions par client)</t>
  </si>
  <si>
    <t>Nouveaux clients à vérifier (prestataires + loueurs + vidéo + demande)</t>
  </si>
  <si>
    <t>GMV perdu faute d'offre (demande non servie × panier)</t>
  </si>
  <si>
    <t>EMBAUCHE DU COLLABORATEUR 2</t>
  </si>
  <si>
    <t>Collaborateur 2 actif (0/1) — déclencheur trésorerie + EBITDA, mois minimum section 14</t>
  </si>
  <si>
    <t>CASCADE DE CONTRIBUTION — coûts variables suivant le volume (MGA)</t>
  </si>
  <si>
    <t>Chiffre d'affaires (IFRS 15)</t>
  </si>
  <si>
    <t>dont MM 3 % (abo Ampio+ + GMV, hors vidéo)</t>
  </si>
  <si>
    <t>dont SMS (Ampio + C2C)</t>
  </si>
  <si>
    <t>dont support / modération (Ar / transaction)</t>
  </si>
  <si>
    <t>dont vérification nouveaux clients (prestataires, loueurs, vidéo, demande)</t>
  </si>
  <si>
    <t>dont provision litiges (% GMV)</t>
  </si>
  <si>
    <t>Total coûts variables</t>
  </si>
  <si>
    <t>MARGE DE CONTRIBUTION</t>
  </si>
  <si>
    <t>% contribution</t>
  </si>
  <si>
    <t>Publicité (budget saisi par année, Parametres section 9)</t>
  </si>
  <si>
    <t>Contribution après pub</t>
  </si>
  <si>
    <t>OPEX fixes (loyer, salaires chargés, hébergement, storage, modération, accompagnement)</t>
  </si>
  <si>
    <t>EBITDA (contrôle = P&amp;L)</t>
  </si>
  <si>
    <t>Écart vs P&amp;L EBITDA (doit = 0)</t>
  </si>
  <si>
    <t>Lecture : les coûts variables suivent le volume (transactions réalisées, nouveaux clients, GMV). Les OPEX fixes ne bougent qu'avec l'inflation, le scénario, le stress test et l'embauche du collab 2. Taux unitaires : Parametres section 12 ; budget pub : section 9.</t>
  </si>
  <si>
    <t>COMPTE DE RÉSULTAT — cascade de contribution (MGA) — M1–M36</t>
  </si>
  <si>
    <t>Chiffre d'affaires (commissions + abonnements)</t>
  </si>
  <si>
    <t xml:space="preserve">   dont revenus récurrents (MRR)</t>
  </si>
  <si>
    <t>Coûts variables (Mobile Money + SMS + support + vérification + litiges)</t>
  </si>
  <si>
    <t>MARGE DE CONTRIBUTION (CA + coûts variables)</t>
  </si>
  <si>
    <t>% marge brute</t>
  </si>
  <si>
    <t>Salaires chargés — fondateur + collab 1 (+ collab 2 si actif), charges patronales incluses</t>
  </si>
  <si>
    <t>Marketing (accompagnement fixe + budget publicité par année)</t>
  </si>
  <si>
    <t>Total OPEX</t>
  </si>
  <si>
    <t>EBITDA</t>
  </si>
  <si>
    <t>% EBITDA</t>
  </si>
  <si>
    <t>Dotations aux amortissements</t>
  </si>
  <si>
    <t>RÉSULTAT OPÉRATIONNEL (EBIT)</t>
  </si>
  <si>
    <t>Charges financières (intérêts d'emprunt)</t>
  </si>
  <si>
    <t>RÉSULTAT AVANT IMPÔT</t>
  </si>
  <si>
    <t>Impôt (IS synthétique 5 % du CA ou IR 20 %) — comptabilisé au mois 12 de chaque exercice</t>
  </si>
  <si>
    <t>RÉSULTAT NET</t>
  </si>
  <si>
    <t>% marge nette</t>
  </si>
  <si>
    <t>RÉCAPITULATIF ANNUEL ET CALCUL DE L'IMPÔT (Madagascar, LF 2026)</t>
  </si>
  <si>
    <t>Année 1</t>
  </si>
  <si>
    <t>Année 2</t>
  </si>
  <si>
    <t>Année 3</t>
  </si>
  <si>
    <t>Chiffre d'affaires annuel</t>
  </si>
  <si>
    <t>EBITDA annuel</t>
  </si>
  <si>
    <t>Résultat avant impôt annuel</t>
  </si>
  <si>
    <t>Déficits antérieurs reportables (régime réel)</t>
  </si>
  <si>
    <t>Impôt dû (IS 5 % du CA si CA &lt; seuil, sinon IR 20 %)</t>
  </si>
  <si>
    <t>Résultat net annuel</t>
  </si>
  <si>
    <t>Simplifications documentées : impôt comptabilisé et payé au mois 12 de chaque exercice ; report des déficits appliqué uniquement au régime réel (IR).</t>
  </si>
  <si>
    <t>BILAN SIMPLIFIÉ — actif = passif (MGA) — M0 setup + M1–M36</t>
  </si>
  <si>
    <t>ACTIF</t>
  </si>
  <si>
    <t>Immobilisations brutes (CAPEX)</t>
  </si>
  <si>
    <t>Amortissements cumulés</t>
  </si>
  <si>
    <t>Immobilisations nettes (VNC)</t>
  </si>
  <si>
    <t>Trésorerie</t>
  </si>
  <si>
    <t>TOTAL ACTIF</t>
  </si>
  <si>
    <t>PASSIF ET CAPITAUX PROPRES</t>
  </si>
  <si>
    <t>Emprunt restant dû</t>
  </si>
  <si>
    <t>Capitaux propres — apport</t>
  </si>
  <si>
    <t>Capitaux propres — résultat net cumulé</t>
  </si>
  <si>
    <t>TOTAL PASSIF + CP</t>
  </si>
  <si>
    <t>Contrôle (actif − passif, doit = 0)</t>
  </si>
  <si>
    <t>OK si abs(contrôle) &lt; 1 Ar</t>
  </si>
  <si>
    <t>Simplifications : pas de créances clients (encaissement Mobile Money), impôt payé au mois 12 de chaque exercice (déjà dans le RN et la trésorerie), pas de BFR stocks. Identité : VNC + caisse = dette + apport + RN cumulé.</t>
  </si>
  <si>
    <t>AMORTISSEMENTS — linéaires, IFRS (IAS 16 corporelles / IAS 38 incorporelles)</t>
  </si>
  <si>
    <t>Immobilisation</t>
  </si>
  <si>
    <t>Norme IFRS</t>
  </si>
  <si>
    <t>Qté</t>
  </si>
  <si>
    <t>PU (Ar)</t>
  </si>
  <si>
    <t>Valeur brute</t>
  </si>
  <si>
    <t>Amort. annuel</t>
  </si>
  <si>
    <t>Amort. mensuel</t>
  </si>
  <si>
    <t>Cumul 3 ans</t>
  </si>
  <si>
    <t>VNC fin A3</t>
  </si>
  <si>
    <t>Ordinateur portable</t>
  </si>
  <si>
    <t>IAS 16 — corporelle</t>
  </si>
  <si>
    <t>Design graphique UI/UX</t>
  </si>
  <si>
    <t>IAS 38 — incorporelle</t>
  </si>
  <si>
    <t>TOTAL</t>
  </si>
  <si>
    <t>Hypothèse : mise en service au mois 1 ; amortissement linéaire sans valeur résiduelle (IAS 16.50 / IAS 38.97). VNC = valeur nette comptable.</t>
  </si>
  <si>
    <t>FINANCEMENT — besoin initial, plan de financement (Ask), emprunt et validation sur 3 ans</t>
  </si>
  <si>
    <t>BESOIN DE FINANCEMENT INITIAL</t>
  </si>
  <si>
    <t>CAPEX (investissements, choc stress inclus)</t>
  </si>
  <si>
    <t>Charges fixes mensuelles année 1 (OPEX chargés + budget publicité A1)</t>
  </si>
  <si>
    <t>Parametres sections 13 et 9 — multiplicateur scénario et choc stress inclus.</t>
  </si>
  <si>
    <t>Coûts variables du mois 1</t>
  </si>
  <si>
    <t>Mobile Money, SMS, support, vérification, litiges du premier mois.</t>
  </si>
  <si>
    <t>Nombre de mois de démarrage couverts</t>
  </si>
  <si>
    <t>Besoin de démarrage (N mois × (charges fixes + coûts variables M1))</t>
  </si>
  <si>
    <t>Nombre de mois de charges fixes en sécurité</t>
  </si>
  <si>
    <t>Trésorerie de sécurité (N mois × charges fixes) — cible de la validation</t>
  </si>
  <si>
    <t>TOTAL BESOIN DE FINANCEMENT</t>
  </si>
  <si>
    <t>PLAN DE FINANCEMENT &amp; ASK (demande de fonds)</t>
  </si>
  <si>
    <t>Apport en fonds propres (fondateurs)</t>
  </si>
  <si>
    <t>Emprunt (mécanique inchangée : besoin non couvert par l'apport, porté en dette dans la trésorerie)</t>
  </si>
  <si>
    <t>TOTAL RESSOURCES (= besoin)</t>
  </si>
  <si>
    <t>Part du financement externe dans le total</t>
  </si>
  <si>
    <t>ASK — financement externe recherché auprès d'investisseurs / bailleurs (besoin − apport)</t>
  </si>
  <si>
    <t>Montant à présenter aux financeurs. Ventilation indicative ci-dessous ; la trésorerie modélise l'ensemble en emprunt.</t>
  </si>
  <si>
    <t xml:space="preserve">   dont visé en equity / quasi-fonds propres (investisseurs) — indicatif</t>
  </si>
  <si>
    <t>Part paramétrable (Parametres section 16).</t>
  </si>
  <si>
    <t xml:space="preserve">   dont visé en dette (banques / bailleurs) — indicatif</t>
  </si>
  <si>
    <t>EMPRUNT — CONDITIONS</t>
  </si>
  <si>
    <t>Montant emprunté</t>
  </si>
  <si>
    <t>Taux annuel</t>
  </si>
  <si>
    <t>Durée (mois)</t>
  </si>
  <si>
    <t>Mensualité constante (annuités)</t>
  </si>
  <si>
    <t>Coût total des intérêts sur la durée</t>
  </si>
  <si>
    <t>Intérêts → P&amp;L ligne 22 et Trésorerie ligne 9 ; capital → Trésorerie ligne 20 ; dette restante → Bilan ligne 13.</t>
  </si>
  <si>
    <t>TABLEAU D'AMORTISSEMENT DE L'EMPRUNT (mensuel)</t>
  </si>
  <si>
    <t>Mensualité</t>
  </si>
  <si>
    <t>Intérêts</t>
  </si>
  <si>
    <t>Capital remboursé</t>
  </si>
  <si>
    <t>Capital restant dû</t>
  </si>
  <si>
    <t>VALIDATION 3 ANS — la trésorerie reste-t-elle au-dessus du matelas de sécurité sur M0–M36 ?</t>
  </si>
  <si>
    <t>Pic de besoin cumulé de trésorerie AVANT financement (flux op. hors intérêts + CAPEX)</t>
  </si>
  <si>
    <t>Point bas du cumul des flux (ligne 48) : montant à financer pour ne jamais être à zéro, hors coût de la dette.</t>
  </si>
  <si>
    <t>Financement minimal pour conserver le matelas de sécurité (pic + sécurité, hors service de la dette)</t>
  </si>
  <si>
    <t>Trésorerie minimale sur 36 mois APRÈS financement et service de la dette</t>
  </si>
  <si>
    <t>Couverture du matelas de sécurité (cible = ligne 10)</t>
  </si>
  <si>
    <t>Financement externe minimum indicatif pour atteindre la cible (itération suivante, hors intérêts additionnels)</t>
  </si>
  <si>
    <t>Référence V2.3 — apport 36,7 M Ar calé à la main pour un plancher de 1 M</t>
  </si>
  <si>
    <t>Écart référence 36,7 M vs financement minimal (positif = référence surdimensionnée)</t>
  </si>
  <si>
    <t>Capital restant dû à la fin du mois 36 (emprunt plus long que l'horizon du modèle)</t>
  </si>
  <si>
    <t>Nul si la durée ≤ 36 mois.</t>
  </si>
  <si>
    <t>Trésorerie fin M36 nette de la dette restante</t>
  </si>
  <si>
    <t>Cumul flux opérationnels (hors intérêts) + CAPEX, avant financement — M0 (col. B) → M36 (col. AL)</t>
  </si>
  <si>
    <t>FLUX DE TRÉSORERIE (IAS 7, méthode directe) — M0 (setup) + M1–M36</t>
  </si>
  <si>
    <t>FLUX DE TRÉSORERIE OPÉRATIONNELS</t>
  </si>
  <si>
    <t>Encaissements clients (CA)</t>
  </si>
  <si>
    <t>Décaissements coûts variables</t>
  </si>
  <si>
    <t>Décaissements OPEX</t>
  </si>
  <si>
    <t>Intérêts payés</t>
  </si>
  <si>
    <t>Impôts payés</t>
  </si>
  <si>
    <t>Flux net opérationnel</t>
  </si>
  <si>
    <t>FLUX D'INVESTISSEMENT</t>
  </si>
  <si>
    <t>Acquisition d'immobilisations (CAPEX)</t>
  </si>
  <si>
    <t>Flux net d'investissement</t>
  </si>
  <si>
    <t>FLUX DE FINANCEMENT</t>
  </si>
  <si>
    <t>Emprunt reçu</t>
  </si>
  <si>
    <t>Remboursement du capital de l'emprunt</t>
  </si>
  <si>
    <t>Flux net de financement</t>
  </si>
  <si>
    <t>FLUX DE TRÉSORERIE NET</t>
  </si>
  <si>
    <t>Trésorerie d'ouverture</t>
  </si>
  <si>
    <t>TRÉSORERIE DE CLÔTURE</t>
  </si>
  <si>
    <t>Burn mensuel (op. + inv., si négatif)</t>
  </si>
  <si>
    <t>Runway (mois de trésorerie au rythme du mois)</t>
  </si>
  <si>
    <t>Choix IAS 7 : intérêts payés classés en flux opérationnels ; le remboursement du capital en flux de financement. Modèle 100 % cash (Mobile Money) : pas de délai de paiement clients.</t>
  </si>
  <si>
    <t>KPI MARKETPLACE — mensuels M1–M36 (MGA) et synthèse annuelle</t>
  </si>
  <si>
    <t>CROISSANCE &amp; VOLUME D'AFFAIRES</t>
  </si>
  <si>
    <t>GMV (volume d'affaires brut)</t>
  </si>
  <si>
    <t>Chiffre d'affaires net (IFRS 15, après stress)</t>
  </si>
  <si>
    <t>Take rate effectif (CA transactionnel / GMV)</t>
  </si>
  <si>
    <t>MRR (abonnements + vidéo)</t>
  </si>
  <si>
    <t>ARR (MRR × 12)</t>
  </si>
  <si>
    <t>Croissance CA (MoM)</t>
  </si>
  <si>
    <t>Budget publicité du mois</t>
  </si>
  <si>
    <t>Multiplicateur de croissance (acquisition)</t>
  </si>
  <si>
    <t>OFFRE &amp; LIQUIDITÉ (capacité contraignante)</t>
  </si>
  <si>
    <t>Prestataires Ampio actifs</t>
  </si>
  <si>
    <t>Utilisation de la capacité Ampio (alerte si ≥ fill rate max)</t>
  </si>
  <si>
    <t>Prestations non servies (pénurie d'offre)</t>
  </si>
  <si>
    <t>GMV perdu faute d'offre (tous segments)</t>
  </si>
  <si>
    <t>Loueurs pro actifs</t>
  </si>
  <si>
    <t>Utilisation capacité locations pro</t>
  </si>
  <si>
    <t>Annonces C2C actives</t>
  </si>
  <si>
    <t>Utilisation capacité C2C</t>
  </si>
  <si>
    <t>Collaborateur 2 actif (0/1)</t>
  </si>
  <si>
    <t>UNIT ECONOMICS PAR FACE (offre / demande) — LTV bornée à 36 mois, commissions partagées 50/50 entre les faces</t>
  </si>
  <si>
    <t>Nouveaux OFFRE (prestataires + loueurs pro onboardés)</t>
  </si>
  <si>
    <t>Nouveaux DEMANDE (clients vidéo + clients transactionnels estimés)</t>
  </si>
  <si>
    <t>Dépenses d'acquisition (pub + part accompagnement + temps fondateur chargé)</t>
  </si>
  <si>
    <t>Dépenses d'acquisition OFFRE</t>
  </si>
  <si>
    <t>Dépenses d'acquisition DEMANDE</t>
  </si>
  <si>
    <t>CAC offre</t>
  </si>
  <si>
    <t>CAC demande</t>
  </si>
  <si>
    <t>Revenu mensuel moyen par prestataire / loueur (50 % commissions + abonnements Ampio+)</t>
  </si>
  <si>
    <t>Durée de vie offre (mois) = MIN(36 ; 1 / churn prestataires)</t>
  </si>
  <si>
    <t>LTV offre (revenu mensuel × durée de vie bornée)</t>
  </si>
  <si>
    <t>LTV demande (vidéo : prix × MIN(36 ; 1/churn) ; transactionnel : 50 % commission par transaction × tx/client × durée de vie)</t>
  </si>
  <si>
    <t>LTV / CAC offre (cible indicative &gt; 3)</t>
  </si>
  <si>
    <t>LTV / CAC demande (cible indicative &gt; 3)</t>
  </si>
  <si>
    <t>Payback CAC offre (mois) = CAC / revenu mensuel par prestataire</t>
  </si>
  <si>
    <t>TRÉSORERIE &amp; LIQUIDITÉ FINANCIÈRE</t>
  </si>
  <si>
    <t>Trésorerie de clôture</t>
  </si>
  <si>
    <t>Burn net mensuel</t>
  </si>
  <si>
    <t>Runway (mois)</t>
  </si>
  <si>
    <t>Passif courant estimé (capital emprunt ≤ 12 mois + impôt de l'exercice)</t>
  </si>
  <si>
    <t>Taux de liquidité générale (trésorerie / passif courant)</t>
  </si>
  <si>
    <t>SYNTHÈSE ANNUELLE</t>
  </si>
  <si>
    <t>GMV annuel</t>
  </si>
  <si>
    <t>CA annuel</t>
  </si>
  <si>
    <t>Take rate moyen (CA transactionnel / GMV)</t>
  </si>
  <si>
    <t>MRR fin d'année</t>
  </si>
  <si>
    <t>Marge EBITDA</t>
  </si>
  <si>
    <t>Croissance CA (YoY)</t>
  </si>
  <si>
    <t>Prestataires actifs fin d'année</t>
  </si>
  <si>
    <t>Utilisation capacité Ampio fin d'année</t>
  </si>
  <si>
    <t>GMV perdu faute d'offre (annuel)</t>
  </si>
  <si>
    <t>Budget publicité annuel</t>
  </si>
  <si>
    <t>CAC offre moyen annuel</t>
  </si>
  <si>
    <t>CAC demande moyen annuel</t>
  </si>
  <si>
    <t>LTV / CAC offre fin d'année</t>
  </si>
  <si>
    <t>LTV / CAC demande fin d'année</t>
  </si>
  <si>
    <t>Rule of 40 (croissance CA YoY + marge EBITDA)</t>
  </si>
  <si>
    <t>BASE GRAPHIQUE — séries mensuelles pour les graphiques du Dashboard</t>
  </si>
  <si>
    <t>Chiffre d'affaires</t>
  </si>
  <si>
    <t>Résultat net</t>
  </si>
  <si>
    <t>MRR</t>
  </si>
  <si>
    <t>GMV</t>
  </si>
  <si>
    <t>Résultat net cumulé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</si>
</sst>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)_ ;_ * \(#,##0.00\)_ ;_ * &quot;-&quot;??_)_ ;_ @_ "/>
    <numFmt numFmtId="164" formatCode="#,##0&quot; Ar&quot;"/>
    <numFmt numFmtId="165" formatCode="0.0%"/>
    <numFmt numFmtId="167" formatCode="#,##0.0"/>
    <numFmt numFmtId="170" formatCode="#,##0;\(#,##0\)"/>
  </numFmts>
  <fonts count="33" x14ac:knownFonts="1">
    <font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sz val="10"/>
      <color rgb="FF000000"/>
      <name val="Calibri"/>
      <family val="2"/>
    </font>
    <font>
      <b/>
      <sz val="14"/>
      <color rgb="FFFFFFFF"/>
      <name val="Calibri"/>
      <family val="2"/>
    </font>
    <font>
      <sz val="10"/>
      <color rgb="FF000000"/>
      <name val="Calibri"/>
      <family val="2"/>
    </font>
    <font>
      <sz val="10"/>
      <color rgb="FF0000FF"/>
      <name val="Calibri"/>
      <family val="2"/>
    </font>
    <font>
      <b/>
      <sz val="11"/>
      <color rgb="FFFFFFFF"/>
      <name val="Calibri"/>
      <family val="2"/>
    </font>
    <font>
      <b/>
      <sz val="10"/>
      <color rgb="FF1F4E79"/>
      <name val="Calibri"/>
      <family val="2"/>
    </font>
    <font>
      <sz val="10"/>
      <color rgb="FF008000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b/>
      <sz val="14"/>
      <color rgb="FFFFFFFF"/>
      <name val="Calibri"/>
      <family val="2"/>
    </font>
    <font>
      <b/>
      <sz val="10"/>
      <name val="Calibri"/>
      <family val="2"/>
    </font>
    <font>
      <b/>
      <sz val="11"/>
      <color rgb="FF0000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0"/>
      <color rgb="FF1F4E79"/>
      <name val="Calibri"/>
      <family val="2"/>
    </font>
    <font>
      <sz val="10"/>
      <color rgb="FF0000FF"/>
      <name val="Calibri"/>
      <family val="2"/>
    </font>
    <font>
      <sz val="10"/>
      <color rgb="FF595959"/>
      <name val="Calibri"/>
      <family val="2"/>
    </font>
    <font>
      <sz val="10"/>
      <color rgb="FF008000"/>
      <name val="Calibri"/>
      <family val="2"/>
    </font>
    <font>
      <i/>
      <sz val="9"/>
      <color rgb="FF595959"/>
      <name val="Calibri"/>
      <family val="2"/>
    </font>
    <font>
      <sz val="10"/>
      <color rgb="FF000000"/>
      <name val="Calibri"/>
      <family val="2"/>
    </font>
    <font>
      <b/>
      <sz val="10"/>
      <color rgb="FF595959"/>
      <name val="Calibri"/>
      <family val="2"/>
    </font>
    <font>
      <b/>
      <sz val="10"/>
      <color rgb="FF000000"/>
      <name val="Calibri"/>
      <family val="2"/>
    </font>
    <font>
      <b/>
      <i/>
      <sz val="9"/>
      <color rgb="FF595959"/>
      <name val="Calibri"/>
      <family val="2"/>
    </font>
    <font>
      <b/>
      <sz val="10"/>
      <color rgb="FF008000"/>
      <name val="Calibri"/>
      <family val="2"/>
    </font>
    <font>
      <b/>
      <sz val="10"/>
      <color rgb="FF0000FF"/>
      <name val="Calibri"/>
      <family val="2"/>
    </font>
    <font>
      <sz val="9"/>
      <color rgb="FF008000"/>
      <name val="Calibri"/>
      <family val="2"/>
    </font>
    <font>
      <b/>
      <sz val="11"/>
      <color rgb="FF008000"/>
      <name val="Calibri"/>
      <family val="2"/>
    </font>
    <font>
      <b/>
      <sz val="11"/>
      <color rgb="FF1F4E79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6E63"/>
        <bgColor rgb="FF008080"/>
      </patternFill>
    </fill>
    <fill>
      <patternFill patternType="solid">
        <fgColor rgb="FFDCEEEA"/>
        <bgColor rgb="FFE7EFFA"/>
      </patternFill>
    </fill>
    <fill>
      <patternFill patternType="solid">
        <fgColor rgb="FF1F4E79"/>
      </patternFill>
    </fill>
    <fill>
      <patternFill patternType="solid">
        <fgColor rgb="FFFFF6CC"/>
      </patternFill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1F4E79"/>
      </patternFill>
    </fill>
    <fill>
      <patternFill patternType="solid">
        <fgColor rgb="FFFFF6CC"/>
      </patternFill>
    </fill>
    <fill>
      <patternFill patternType="solid">
        <fgColor rgb="FF4472C4"/>
      </patternFill>
    </fill>
    <fill>
      <patternFill patternType="solid">
        <fgColor rgb="FFD9E1F2"/>
      </patternFill>
    </fill>
  </fills>
  <borders count="7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2B2B2"/>
      </bottom>
      <diagonal/>
    </border>
    <border>
      <left/>
      <right/>
      <top style="thin">
        <color rgb="FF404040"/>
      </top>
      <bottom/>
      <diagonal/>
    </border>
  </borders>
  <cellStyleXfs count="3">
    <xf numFmtId="0" fontId="0" fillId="0" borderId="3"/>
    <xf numFmtId="9" fontId="3" fillId="0" borderId="3"/>
    <xf numFmtId="43" fontId="4" fillId="0" borderId="3"/>
  </cellStyleXfs>
  <cellXfs count="114">
    <xf numFmtId="0" fontId="0" fillId="0" borderId="0" xfId="0" applyBorder="1"/>
    <xf numFmtId="0" fontId="0" fillId="3" borderId="0" xfId="0" applyFill="1" applyBorder="1"/>
    <xf numFmtId="0" fontId="2" fillId="2" borderId="1" xfId="0" applyFont="1" applyFill="1" applyBorder="1"/>
    <xf numFmtId="3" fontId="0" fillId="0" borderId="1" xfId="0" applyNumberFormat="1" applyBorder="1"/>
    <xf numFmtId="3" fontId="1" fillId="0" borderId="1" xfId="0" applyNumberFormat="1" applyFont="1" applyBorder="1"/>
    <xf numFmtId="0" fontId="5" fillId="0" borderId="0" xfId="0" applyFont="1" applyBorder="1" applyAlignment="1">
      <alignment wrapText="1"/>
    </xf>
    <xf numFmtId="0" fontId="6" fillId="4" borderId="0" xfId="0" applyFont="1" applyFill="1" applyBorder="1"/>
    <xf numFmtId="0" fontId="9" fillId="6" borderId="0" xfId="0" applyFont="1" applyFill="1" applyBorder="1" applyAlignment="1">
      <alignment vertical="top" wrapText="1"/>
    </xf>
    <xf numFmtId="0" fontId="9" fillId="6" borderId="0" xfId="0" applyFont="1" applyFill="1" applyBorder="1"/>
    <xf numFmtId="0" fontId="7" fillId="0" borderId="0" xfId="0" applyFont="1" applyBorder="1" applyAlignment="1">
      <alignment vertical="top" wrapText="1"/>
    </xf>
    <xf numFmtId="0" fontId="12" fillId="0" borderId="0" xfId="0" applyFont="1" applyBorder="1" applyAlignment="1">
      <alignment vertical="top" wrapText="1"/>
    </xf>
    <xf numFmtId="0" fontId="7" fillId="0" borderId="0" xfId="0" applyFont="1" applyBorder="1"/>
    <xf numFmtId="0" fontId="10" fillId="7" borderId="1" xfId="0" applyFont="1" applyFill="1" applyBorder="1"/>
    <xf numFmtId="0" fontId="10" fillId="7" borderId="0" xfId="0" applyFont="1" applyFill="1" applyBorder="1"/>
    <xf numFmtId="2" fontId="8" fillId="5" borderId="1" xfId="0" applyNumberFormat="1" applyFont="1" applyFill="1" applyBorder="1"/>
    <xf numFmtId="2" fontId="11" fillId="0" borderId="1" xfId="0" applyNumberFormat="1" applyFont="1" applyBorder="1"/>
    <xf numFmtId="1" fontId="10" fillId="7" borderId="0" xfId="0" applyNumberFormat="1" applyFont="1" applyFill="1" applyBorder="1"/>
    <xf numFmtId="0" fontId="12" fillId="0" borderId="0" xfId="0" applyFont="1" applyBorder="1"/>
    <xf numFmtId="167" fontId="7" fillId="0" borderId="0" xfId="0" applyNumberFormat="1" applyFont="1" applyBorder="1"/>
    <xf numFmtId="170" fontId="11" fillId="0" borderId="0" xfId="0" applyNumberFormat="1" applyFont="1" applyBorder="1"/>
    <xf numFmtId="170" fontId="7" fillId="0" borderId="0" xfId="0" applyNumberFormat="1" applyFont="1" applyBorder="1"/>
    <xf numFmtId="170" fontId="12" fillId="0" borderId="0" xfId="0" applyNumberFormat="1" applyFont="1" applyBorder="1"/>
    <xf numFmtId="165" fontId="7" fillId="0" borderId="0" xfId="0" applyNumberFormat="1" applyFont="1" applyBorder="1"/>
    <xf numFmtId="0" fontId="7" fillId="0" borderId="0" xfId="0" applyFont="1" applyBorder="1" applyAlignment="1">
      <alignment vertical="center" wrapText="1"/>
    </xf>
    <xf numFmtId="170" fontId="11" fillId="0" borderId="2" xfId="0" applyNumberFormat="1" applyFont="1" applyBorder="1"/>
    <xf numFmtId="0" fontId="12" fillId="0" borderId="0" xfId="0" applyFont="1" applyBorder="1" applyAlignment="1">
      <alignment vertical="center" wrapText="1"/>
    </xf>
    <xf numFmtId="170" fontId="7" fillId="0" borderId="2" xfId="0" applyNumberFormat="1" applyFont="1" applyBorder="1"/>
    <xf numFmtId="165" fontId="7" fillId="0" borderId="2" xfId="0" applyNumberFormat="1" applyFont="1" applyBorder="1"/>
    <xf numFmtId="0" fontId="7" fillId="0" borderId="0" xfId="0" applyFont="1" applyBorder="1" applyAlignment="1">
      <alignment wrapText="1"/>
    </xf>
    <xf numFmtId="0" fontId="12" fillId="0" borderId="1" xfId="0" applyFont="1" applyBorder="1"/>
    <xf numFmtId="0" fontId="9" fillId="6" borderId="0" xfId="0" applyFont="1" applyFill="1" applyBorder="1" applyAlignment="1">
      <alignment wrapText="1"/>
    </xf>
    <xf numFmtId="0" fontId="12" fillId="0" borderId="0" xfId="0" applyFont="1" applyBorder="1" applyAlignment="1">
      <alignment wrapText="1"/>
    </xf>
    <xf numFmtId="0" fontId="7" fillId="0" borderId="0" xfId="0" applyFont="1" applyBorder="1" applyAlignment="1">
      <alignment horizontal="center"/>
    </xf>
    <xf numFmtId="3" fontId="11" fillId="0" borderId="1" xfId="0" applyNumberFormat="1" applyFont="1" applyBorder="1"/>
    <xf numFmtId="3" fontId="7" fillId="0" borderId="1" xfId="0" applyNumberFormat="1" applyFont="1" applyBorder="1"/>
    <xf numFmtId="3" fontId="12" fillId="0" borderId="1" xfId="0" applyNumberFormat="1" applyFont="1" applyBorder="1"/>
    <xf numFmtId="0" fontId="5" fillId="0" borderId="0" xfId="0" applyFont="1" applyBorder="1" applyAlignment="1">
      <alignment vertical="top" wrapText="1"/>
    </xf>
    <xf numFmtId="0" fontId="15" fillId="0" borderId="4" xfId="0" applyFont="1" applyBorder="1"/>
    <xf numFmtId="0" fontId="31" fillId="0" borderId="4" xfId="0" applyFont="1" applyBorder="1"/>
    <xf numFmtId="0" fontId="13" fillId="0" borderId="4" xfId="0" applyFont="1" applyBorder="1"/>
    <xf numFmtId="0" fontId="18" fillId="10" borderId="4" xfId="0" applyFont="1" applyFill="1" applyBorder="1"/>
    <xf numFmtId="164" fontId="22" fillId="0" borderId="4" xfId="0" applyNumberFormat="1" applyFont="1" applyBorder="1"/>
    <xf numFmtId="165" fontId="22" fillId="0" borderId="4" xfId="0" applyNumberFormat="1" applyFont="1" applyBorder="1"/>
    <xf numFmtId="1" fontId="22" fillId="0" borderId="4" xfId="0" applyNumberFormat="1" applyFont="1" applyBorder="1"/>
    <xf numFmtId="2" fontId="22" fillId="0" borderId="4" xfId="0" applyNumberFormat="1" applyFont="1" applyBorder="1"/>
    <xf numFmtId="167" fontId="22" fillId="0" borderId="4" xfId="0" applyNumberFormat="1" applyFont="1" applyBorder="1"/>
    <xf numFmtId="164" fontId="28" fillId="0" borderId="4" xfId="0" applyNumberFormat="1" applyFont="1" applyBorder="1"/>
    <xf numFmtId="0" fontId="28" fillId="0" borderId="4" xfId="0" applyFont="1" applyBorder="1"/>
    <xf numFmtId="3" fontId="22" fillId="0" borderId="4" xfId="0" applyNumberFormat="1" applyFont="1" applyBorder="1"/>
    <xf numFmtId="0" fontId="14" fillId="8" borderId="4" xfId="0" applyFont="1" applyFill="1" applyBorder="1"/>
    <xf numFmtId="0" fontId="16" fillId="9" borderId="4" xfId="0" applyFont="1" applyFill="1" applyBorder="1"/>
    <xf numFmtId="0" fontId="17" fillId="0" borderId="4" xfId="0" applyFont="1" applyBorder="1"/>
    <xf numFmtId="0" fontId="19" fillId="11" borderId="5" xfId="0" applyFont="1" applyFill="1" applyBorder="1"/>
    <xf numFmtId="0" fontId="13" fillId="0" borderId="4" xfId="0" applyFont="1" applyBorder="1" applyAlignment="1">
      <alignment vertical="top" wrapText="1"/>
    </xf>
    <xf numFmtId="3" fontId="20" fillId="9" borderId="4" xfId="0" applyNumberFormat="1" applyFont="1" applyFill="1" applyBorder="1"/>
    <xf numFmtId="0" fontId="21" fillId="0" borderId="4" xfId="0" applyFont="1" applyBorder="1"/>
    <xf numFmtId="0" fontId="23" fillId="0" borderId="4" xfId="0" applyFont="1" applyBorder="1" applyAlignment="1">
      <alignment vertical="top" wrapText="1"/>
    </xf>
    <xf numFmtId="170" fontId="20" fillId="9" borderId="4" xfId="0" applyNumberFormat="1" applyFont="1" applyFill="1" applyBorder="1"/>
    <xf numFmtId="170" fontId="22" fillId="0" borderId="4" xfId="0" applyNumberFormat="1" applyFont="1" applyBorder="1"/>
    <xf numFmtId="165" fontId="20" fillId="9" borderId="4" xfId="0" applyNumberFormat="1" applyFont="1" applyFill="1" applyBorder="1"/>
    <xf numFmtId="165" fontId="24" fillId="0" borderId="4" xfId="0" applyNumberFormat="1" applyFont="1" applyBorder="1"/>
    <xf numFmtId="0" fontId="15" fillId="0" borderId="6" xfId="0" applyFont="1" applyBorder="1" applyAlignment="1">
      <alignment vertical="top" wrapText="1"/>
    </xf>
    <xf numFmtId="0" fontId="15" fillId="0" borderId="6" xfId="0" applyFont="1" applyBorder="1"/>
    <xf numFmtId="0" fontId="25" fillId="0" borderId="6" xfId="0" applyFont="1" applyBorder="1"/>
    <xf numFmtId="10" fontId="26" fillId="0" borderId="6" xfId="0" applyNumberFormat="1" applyFont="1" applyBorder="1"/>
    <xf numFmtId="165" fontId="26" fillId="0" borderId="6" xfId="0" applyNumberFormat="1" applyFont="1" applyBorder="1"/>
    <xf numFmtId="170" fontId="24" fillId="0" borderId="4" xfId="0" applyNumberFormat="1" applyFont="1" applyBorder="1"/>
    <xf numFmtId="10" fontId="22" fillId="0" borderId="4" xfId="0" applyNumberFormat="1" applyFont="1" applyBorder="1"/>
    <xf numFmtId="2" fontId="20" fillId="9" borderId="4" xfId="0" applyNumberFormat="1" applyFont="1" applyFill="1" applyBorder="1"/>
    <xf numFmtId="2" fontId="24" fillId="0" borderId="4" xfId="0" applyNumberFormat="1" applyFont="1" applyBorder="1"/>
    <xf numFmtId="1" fontId="20" fillId="9" borderId="4" xfId="0" applyNumberFormat="1" applyFont="1" applyFill="1" applyBorder="1"/>
    <xf numFmtId="1" fontId="24" fillId="0" borderId="4" xfId="0" applyNumberFormat="1" applyFont="1" applyBorder="1"/>
    <xf numFmtId="167" fontId="20" fillId="9" borderId="4" xfId="0" applyNumberFormat="1" applyFont="1" applyFill="1" applyBorder="1"/>
    <xf numFmtId="3" fontId="24" fillId="0" borderId="4" xfId="0" applyNumberFormat="1" applyFont="1" applyBorder="1"/>
    <xf numFmtId="3" fontId="20" fillId="9" borderId="4" xfId="1" applyNumberFormat="1" applyFont="1" applyFill="1" applyBorder="1"/>
    <xf numFmtId="10" fontId="20" fillId="9" borderId="4" xfId="0" applyNumberFormat="1" applyFont="1" applyFill="1" applyBorder="1"/>
    <xf numFmtId="10" fontId="24" fillId="0" borderId="4" xfId="0" applyNumberFormat="1" applyFont="1" applyBorder="1"/>
    <xf numFmtId="4" fontId="20" fillId="9" borderId="4" xfId="0" applyNumberFormat="1" applyFont="1" applyFill="1" applyBorder="1"/>
    <xf numFmtId="4" fontId="24" fillId="0" borderId="4" xfId="0" applyNumberFormat="1" applyFont="1" applyBorder="1"/>
    <xf numFmtId="170" fontId="26" fillId="0" borderId="6" xfId="0" applyNumberFormat="1" applyFont="1" applyBorder="1"/>
    <xf numFmtId="170" fontId="20" fillId="9" borderId="4" xfId="2" applyNumberFormat="1" applyFont="1" applyFill="1" applyBorder="1"/>
    <xf numFmtId="170" fontId="22" fillId="0" borderId="4" xfId="2" applyNumberFormat="1" applyFont="1" applyBorder="1"/>
    <xf numFmtId="0" fontId="27" fillId="0" borderId="6" xfId="0" applyFont="1" applyBorder="1" applyAlignment="1">
      <alignment vertical="top" wrapText="1"/>
    </xf>
    <xf numFmtId="0" fontId="23" fillId="0" borderId="4" xfId="0" applyFont="1" applyBorder="1"/>
    <xf numFmtId="0" fontId="13" fillId="0" borderId="6" xfId="0" applyFont="1" applyBorder="1"/>
    <xf numFmtId="170" fontId="15" fillId="0" borderId="6" xfId="0" applyNumberFormat="1" applyFont="1" applyBorder="1"/>
    <xf numFmtId="0" fontId="13" fillId="0" borderId="0" xfId="0" applyFont="1" applyBorder="1" applyAlignment="1">
      <alignment vertical="top" wrapText="1"/>
    </xf>
    <xf numFmtId="165" fontId="20" fillId="9" borderId="0" xfId="0" applyNumberFormat="1" applyFont="1" applyFill="1" applyBorder="1"/>
    <xf numFmtId="0" fontId="21" fillId="0" borderId="0" xfId="0" applyFont="1" applyBorder="1"/>
    <xf numFmtId="10" fontId="20" fillId="9" borderId="0" xfId="0" applyNumberFormat="1" applyFont="1" applyFill="1" applyBorder="1"/>
    <xf numFmtId="1" fontId="20" fillId="9" borderId="0" xfId="0" applyNumberFormat="1" applyFont="1" applyFill="1" applyBorder="1"/>
    <xf numFmtId="1" fontId="19" fillId="11" borderId="5" xfId="0" applyNumberFormat="1" applyFont="1" applyFill="1" applyBorder="1"/>
    <xf numFmtId="167" fontId="24" fillId="0" borderId="4" xfId="0" applyNumberFormat="1" applyFont="1" applyBorder="1"/>
    <xf numFmtId="167" fontId="26" fillId="0" borderId="4" xfId="0" applyNumberFormat="1" applyFont="1" applyBorder="1"/>
    <xf numFmtId="167" fontId="28" fillId="0" borderId="4" xfId="0" applyNumberFormat="1" applyFont="1" applyBorder="1"/>
    <xf numFmtId="170" fontId="26" fillId="0" borderId="4" xfId="0" applyNumberFormat="1" applyFont="1" applyBorder="1"/>
    <xf numFmtId="170" fontId="28" fillId="0" borderId="4" xfId="0" applyNumberFormat="1" applyFont="1" applyBorder="1"/>
    <xf numFmtId="1" fontId="29" fillId="0" borderId="4" xfId="0" applyNumberFormat="1" applyFont="1" applyBorder="1"/>
    <xf numFmtId="1" fontId="28" fillId="0" borderId="4" xfId="0" applyNumberFormat="1" applyFont="1" applyBorder="1"/>
    <xf numFmtId="170" fontId="22" fillId="0" borderId="2" xfId="0" applyNumberFormat="1" applyFont="1" applyBorder="1"/>
    <xf numFmtId="170" fontId="28" fillId="0" borderId="0" xfId="0" applyNumberFormat="1" applyFont="1" applyBorder="1"/>
    <xf numFmtId="170" fontId="22" fillId="0" borderId="0" xfId="0" applyNumberFormat="1" applyFont="1" applyBorder="1"/>
    <xf numFmtId="0" fontId="23" fillId="0" borderId="4" xfId="0" applyFont="1" applyBorder="1" applyAlignment="1">
      <alignment vertical="top"/>
    </xf>
    <xf numFmtId="0" fontId="19" fillId="11" borderId="4" xfId="0" applyFont="1" applyFill="1" applyBorder="1"/>
    <xf numFmtId="1" fontId="19" fillId="11" borderId="4" xfId="0" applyNumberFormat="1" applyFont="1" applyFill="1" applyBorder="1"/>
    <xf numFmtId="170" fontId="15" fillId="0" borderId="4" xfId="0" applyNumberFormat="1" applyFont="1" applyBorder="1"/>
    <xf numFmtId="170" fontId="13" fillId="0" borderId="4" xfId="0" applyNumberFormat="1" applyFont="1" applyBorder="1"/>
    <xf numFmtId="0" fontId="26" fillId="0" borderId="4" xfId="0" applyFont="1" applyBorder="1"/>
    <xf numFmtId="170" fontId="30" fillId="0" borderId="4" xfId="0" applyNumberFormat="1" applyFont="1" applyBorder="1"/>
    <xf numFmtId="0" fontId="32" fillId="0" borderId="0" xfId="0" applyFont="1" applyBorder="1" applyAlignment="1">
      <alignment vertical="top" wrapText="1"/>
    </xf>
    <xf numFmtId="0" fontId="15" fillId="0" borderId="0" xfId="0" applyFont="1" applyBorder="1" applyAlignment="1">
      <alignment vertical="top" wrapText="1"/>
    </xf>
    <xf numFmtId="0" fontId="6" fillId="4" borderId="3" xfId="0" applyFont="1" applyFill="1"/>
    <xf numFmtId="0" fontId="0" fillId="0" borderId="0" xfId="0" applyBorder="1"/>
    <xf numFmtId="0" fontId="7" fillId="0" borderId="3" xfId="0" applyFont="1" applyAlignment="1">
      <alignment wrapText="1"/>
    </xf>
  </cellXfs>
  <cellStyles count="3">
    <cellStyle name="Milliers" xfId="2" builtinId="3"/>
    <cellStyle name="Normal" xfId="0" builtinId="0"/>
    <cellStyle name="Pourcentage" xfId="1" builtinId="5"/>
  </cellStyles>
  <dxfs count="2">
    <dxf>
      <fill>
        <patternFill patternType="solid">
          <fgColor rgb="FFF8696B"/>
        </patternFill>
      </fill>
    </dxf>
    <dxf>
      <fill>
        <patternFill patternType="solid">
          <fgColor rgb="FFF8696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E63"/>
      <rgbColor rgb="FFBFBFBF"/>
      <rgbColor rgb="FF878787"/>
      <rgbColor rgb="FF9999FF"/>
      <rgbColor rgb="FFBE4B48"/>
      <rgbColor rgb="FFFFF6CC"/>
      <rgbColor rgb="FFDCEEEA"/>
      <rgbColor rgb="FF660066"/>
      <rgbColor rgb="FFD9969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FFA"/>
      <rgbColor rgb="FFCCFFCC"/>
      <rgbColor rgb="FFFFFF99"/>
      <rgbColor rgb="FFBBBBBB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CA et résultat net mensuels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'Base graphique'!$A$3</c:f>
              <c:strCache>
                <c:ptCount val="1"/>
                <c:pt idx="0">
                  <c:v>Chiffre d'affaires</c:v>
                </c:pt>
              </c:strCache>
            </c:strRef>
          </c:tx>
          <c:spPr>
            <a:ln w="284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'Base graphique'!$B$2:$AK$2</c:f>
              <c:numCache>
                <c:formatCode>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'Base graphique'!$B$3:$AK$3</c:f>
              <c:numCache>
                <c:formatCode>#,##0;\(#,##0\)</c:formatCode>
                <c:ptCount val="36"/>
                <c:pt idx="0">
                  <c:v>1394700</c:v>
                </c:pt>
                <c:pt idx="1">
                  <c:v>1455388.425</c:v>
                </c:pt>
                <c:pt idx="2">
                  <c:v>1518457.15215</c:v>
                </c:pt>
                <c:pt idx="3">
                  <c:v>1584033.8286087003</c:v>
                </c:pt>
                <c:pt idx="4">
                  <c:v>1652252.0104707067</c:v>
                </c:pt>
                <c:pt idx="5">
                  <c:v>1723251.4682179105</c:v>
                </c:pt>
                <c:pt idx="6">
                  <c:v>1856302.0340722492</c:v>
                </c:pt>
                <c:pt idx="7">
                  <c:v>1934492.3004762842</c:v>
                </c:pt>
                <c:pt idx="8">
                  <c:v>2015947.3723734012</c:v>
                </c:pt>
                <c:pt idx="9">
                  <c:v>2100835.7146387212</c:v>
                </c:pt>
                <c:pt idx="10">
                  <c:v>2189333.7822610531</c:v>
                </c:pt>
                <c:pt idx="11">
                  <c:v>2281626.4274155251</c:v>
                </c:pt>
                <c:pt idx="12">
                  <c:v>2550347.5759644657</c:v>
                </c:pt>
                <c:pt idx="13">
                  <c:v>2649509.1128086625</c:v>
                </c:pt>
                <c:pt idx="14">
                  <c:v>2752514.0529363444</c:v>
                </c:pt>
                <c:pt idx="15">
                  <c:v>2859537.0597735019</c:v>
                </c:pt>
                <c:pt idx="16">
                  <c:v>2970760.1980828652</c:v>
                </c:pt>
                <c:pt idx="17">
                  <c:v>3086373.2700976366</c:v>
                </c:pt>
                <c:pt idx="18">
                  <c:v>3206574.166375909</c:v>
                </c:pt>
                <c:pt idx="19">
                  <c:v>3331569.2320399843</c:v>
                </c:pt>
                <c:pt idx="20">
                  <c:v>3461573.6490942491</c:v>
                </c:pt>
                <c:pt idx="21">
                  <c:v>3596811.8355460106</c:v>
                </c:pt>
                <c:pt idx="22">
                  <c:v>3737517.8620859114</c:v>
                </c:pt>
                <c:pt idx="23">
                  <c:v>3883935.8871180704</c:v>
                </c:pt>
                <c:pt idx="24">
                  <c:v>4323137.5828078501</c:v>
                </c:pt>
                <c:pt idx="25">
                  <c:v>4482164.7560903095</c:v>
                </c:pt>
                <c:pt idx="26">
                  <c:v>4645654.4033664605</c:v>
                </c:pt>
                <c:pt idx="27">
                  <c:v>4813798.6996990116</c:v>
                </c:pt>
                <c:pt idx="28">
                  <c:v>4986795.7152400799</c:v>
                </c:pt>
                <c:pt idx="29">
                  <c:v>5164849.6590295993</c:v>
                </c:pt>
                <c:pt idx="30">
                  <c:v>5348171.1307455627</c:v>
                </c:pt>
                <c:pt idx="31">
                  <c:v>5536977.3807238294</c:v>
                </c:pt>
                <c:pt idx="32">
                  <c:v>5731492.5785759585</c:v>
                </c:pt>
                <c:pt idx="33">
                  <c:v>5931948.0907447897</c:v>
                </c:pt>
                <c:pt idx="34">
                  <c:v>6138582.76734915</c:v>
                </c:pt>
                <c:pt idx="35">
                  <c:v>6351643.2386810975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B9-4646-AFA7-F64E66084261}"/>
            </c:ext>
          </c:extLst>
        </c:ser>
        <c:ser>
          <c:idx val="1"/>
          <c:order val="1"/>
          <c:tx>
            <c:strRef>
              <c:f>'Base graphique'!$A$4</c:f>
              <c:strCache>
                <c:ptCount val="1"/>
                <c:pt idx="0">
                  <c:v>Résultat net</c:v>
                </c:pt>
              </c:strCache>
            </c:strRef>
          </c:tx>
          <c:spPr>
            <a:ln w="2844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'Base graphique'!$B$2:$AK$2</c:f>
              <c:numCache>
                <c:formatCode>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'Base graphique'!$B$4:$AK$4</c:f>
              <c:numCache>
                <c:formatCode>#,##0;\(#,##0\)</c:formatCode>
                <c:ptCount val="36"/>
                <c:pt idx="0">
                  <c:v>-2233825.5127666667</c:v>
                </c:pt>
                <c:pt idx="1">
                  <c:v>-2045678.927729761</c:v>
                </c:pt>
                <c:pt idx="2">
                  <c:v>-1984011.6491345786</c:v>
                </c:pt>
                <c:pt idx="3">
                  <c:v>-1919912.6325646117</c:v>
                </c:pt>
                <c:pt idx="4">
                  <c:v>-1853250.6923165529</c:v>
                </c:pt>
                <c:pt idx="5">
                  <c:v>-1783888.4835621053</c:v>
                </c:pt>
                <c:pt idx="6">
                  <c:v>-1652558.6569556464</c:v>
                </c:pt>
                <c:pt idx="7">
                  <c:v>-1576175.1621785217</c:v>
                </c:pt>
                <c:pt idx="8">
                  <c:v>-1496615.4977512234</c:v>
                </c:pt>
                <c:pt idx="9">
                  <c:v>-1413713.865765559</c:v>
                </c:pt>
                <c:pt idx="10">
                  <c:v>-1327296.5439398214</c:v>
                </c:pt>
                <c:pt idx="11">
                  <c:v>-2322512.5066450229</c:v>
                </c:pt>
                <c:pt idx="12">
                  <c:v>-1275237.4595477737</c:v>
                </c:pt>
                <c:pt idx="13">
                  <c:v>-1179721.9794360935</c:v>
                </c:pt>
                <c:pt idx="14">
                  <c:v>-1080161.2952739848</c:v>
                </c:pt>
                <c:pt idx="15">
                  <c:v>-976723.81478841172</c:v>
                </c:pt>
                <c:pt idx="16">
                  <c:v>-869231.51020547224</c:v>
                </c:pt>
                <c:pt idx="17">
                  <c:v>-757498.71476444462</c:v>
                </c:pt>
                <c:pt idx="18">
                  <c:v>-641331.77473789209</c:v>
                </c:pt>
                <c:pt idx="19">
                  <c:v>-520528.68614828913</c:v>
                </c:pt>
                <c:pt idx="20">
                  <c:v>-394878.71549048001</c:v>
                </c:pt>
                <c:pt idx="21">
                  <c:v>-264162.00373862725</c:v>
                </c:pt>
                <c:pt idx="22">
                  <c:v>-128149.152884222</c:v>
                </c:pt>
                <c:pt idx="23">
                  <c:v>-1890951.9893144758</c:v>
                </c:pt>
                <c:pt idx="24">
                  <c:v>-427383.28945863771</c:v>
                </c:pt>
                <c:pt idx="25">
                  <c:v>-293705.31981892273</c:v>
                </c:pt>
                <c:pt idx="26">
                  <c:v>-137403.08326168865</c:v>
                </c:pt>
                <c:pt idx="27">
                  <c:v>23318.509819203231</c:v>
                </c:pt>
                <c:pt idx="28">
                  <c:v>188650.2245367846</c:v>
                </c:pt>
                <c:pt idx="29">
                  <c:v>358788.80107379716</c:v>
                </c:pt>
                <c:pt idx="30">
                  <c:v>533937.20147899794</c:v>
                </c:pt>
                <c:pt idx="31">
                  <c:v>714304.86462662288</c:v>
                </c:pt>
                <c:pt idx="32">
                  <c:v>900107.96966394573</c:v>
                </c:pt>
                <c:pt idx="33">
                  <c:v>1091569.70828307</c:v>
                </c:pt>
                <c:pt idx="34">
                  <c:v>1288920.5661646698</c:v>
                </c:pt>
                <c:pt idx="35">
                  <c:v>-1680362.1861993496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B9-4646-AFA7-F64E66084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53083458"/>
        <c:axId val="69839638"/>
      </c:lineChart>
      <c:catAx>
        <c:axId val="530834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fr-F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9839638"/>
        <c:crosses val="autoZero"/>
        <c:auto val="1"/>
        <c:lblAlgn val="ctr"/>
        <c:lblOffset val="100"/>
        <c:noMultiLvlLbl val="0"/>
      </c:catAx>
      <c:valAx>
        <c:axId val="698396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MGA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3083458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Trésorerie de clôture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'Base graphique'!$A$5</c:f>
              <c:strCache>
                <c:ptCount val="1"/>
                <c:pt idx="0">
                  <c:v>Trésorerie de clôture</c:v>
                </c:pt>
              </c:strCache>
            </c:strRef>
          </c:tx>
          <c:spPr>
            <a:ln w="284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'Base graphique'!$B$2:$AK$2</c:f>
              <c:numCache>
                <c:formatCode>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'Base graphique'!$B$5:$AK$5</c:f>
              <c:numCache>
                <c:formatCode>#,##0;\(#,##0\)</c:formatCode>
                <c:ptCount val="36"/>
                <c:pt idx="0">
                  <c:v>44385929.215645909</c:v>
                </c:pt>
                <c:pt idx="1">
                  <c:v>41847420.890691809</c:v>
                </c:pt>
                <c:pt idx="2">
                  <c:v>39366271.123853713</c:v>
                </c:pt>
                <c:pt idx="3">
                  <c:v>36944879.337702803</c:v>
                </c:pt>
                <c:pt idx="4">
                  <c:v>34585775.89814806</c:v>
                </c:pt>
                <c:pt idx="5">
                  <c:v>32291628.271743476</c:v>
                </c:pt>
                <c:pt idx="6">
                  <c:v>30124371.028374031</c:v>
                </c:pt>
                <c:pt idx="7">
                  <c:v>28029024.540383607</c:v>
                </c:pt>
                <c:pt idx="8">
                  <c:v>26008731.431876894</c:v>
                </c:pt>
                <c:pt idx="9">
                  <c:v>24066799.873275176</c:v>
                </c:pt>
                <c:pt idx="10">
                  <c:v>22206711.503802925</c:v>
                </c:pt>
                <c:pt idx="11">
                  <c:v>19346798.732933979</c:v>
                </c:pt>
                <c:pt idx="12">
                  <c:v>17529518.007180605</c:v>
                </c:pt>
                <c:pt idx="13">
                  <c:v>15803074.937042369</c:v>
                </c:pt>
                <c:pt idx="14">
                  <c:v>14171479.642885974</c:v>
                </c:pt>
                <c:pt idx="15">
                  <c:v>12638573.574223535</c:v>
                </c:pt>
                <c:pt idx="16">
                  <c:v>11208375.943239979</c:v>
                </c:pt>
                <c:pt idx="17">
                  <c:v>9885091.3617916163</c:v>
                </c:pt>
                <c:pt idx="18">
                  <c:v>8673117.8263696767</c:v>
                </c:pt>
                <c:pt idx="19">
                  <c:v>7577055.0663322099</c:v>
                </c:pt>
                <c:pt idx="20">
                  <c:v>6601713.2713983832</c:v>
                </c:pt>
                <c:pt idx="21">
                  <c:v>5752122.2151205838</c:v>
                </c:pt>
                <c:pt idx="22">
                  <c:v>5033540.7918031458</c:v>
                </c:pt>
                <c:pt idx="23">
                  <c:v>2547115.7900272049</c:v>
                </c:pt>
                <c:pt idx="24">
                  <c:v>1519180.9405136413</c:v>
                </c:pt>
                <c:pt idx="25">
                  <c:v>619807.42393938091</c:v>
                </c:pt>
                <c:pt idx="26">
                  <c:v>-128418.86755331059</c:v>
                </c:pt>
                <c:pt idx="27">
                  <c:v>-721117.2400268428</c:v>
                </c:pt>
                <c:pt idx="28">
                  <c:v>-1153716.5243999888</c:v>
                </c:pt>
                <c:pt idx="29">
                  <c:v>-1421449.1035529471</c:v>
                </c:pt>
                <c:pt idx="30">
                  <c:v>-1519344.6926524052</c:v>
                </c:pt>
                <c:pt idx="31">
                  <c:v>-1442223.8645335769</c:v>
                </c:pt>
                <c:pt idx="32">
                  <c:v>-1184691.311651234</c:v>
                </c:pt>
                <c:pt idx="33">
                  <c:v>-741128.83577562892</c:v>
                </c:pt>
                <c:pt idx="34">
                  <c:v>-105688.05626147997</c:v>
                </c:pt>
                <c:pt idx="35">
                  <c:v>-2445043.6275112294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E2-7047-BF39-3A87D7ACB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58520465"/>
        <c:axId val="76031319"/>
      </c:lineChart>
      <c:catAx>
        <c:axId val="585204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fr-F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76031319"/>
        <c:crosses val="autoZero"/>
        <c:auto val="1"/>
        <c:lblAlgn val="ctr"/>
        <c:lblOffset val="100"/>
        <c:noMultiLvlLbl val="0"/>
      </c:catAx>
      <c:valAx>
        <c:axId val="760313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MGA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852046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MRR (abonnements + vidéo)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'Base graphique'!$A$6</c:f>
              <c:strCache>
                <c:ptCount val="1"/>
                <c:pt idx="0">
                  <c:v>MRR</c:v>
                </c:pt>
              </c:strCache>
            </c:strRef>
          </c:tx>
          <c:spPr>
            <a:ln w="284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'Base graphique'!$B$2:$AK$2</c:f>
              <c:numCache>
                <c:formatCode>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'Base graphique'!$B$6:$AK$6</c:f>
              <c:numCache>
                <c:formatCode>#,##0;\(#,##0\)</c:formatCode>
                <c:ptCount val="36"/>
                <c:pt idx="0">
                  <c:v>1020000</c:v>
                </c:pt>
                <c:pt idx="1">
                  <c:v>1073400</c:v>
                </c:pt>
                <c:pt idx="2">
                  <c:v>1129038</c:v>
                </c:pt>
                <c:pt idx="3">
                  <c:v>1187038.8600000003</c:v>
                </c:pt>
                <c:pt idx="4">
                  <c:v>1247533.2942000001</c:v>
                </c:pt>
                <c:pt idx="5">
                  <c:v>1310658.1753740003</c:v>
                </c:pt>
                <c:pt idx="6">
                  <c:v>1376556.8541127804</c:v>
                </c:pt>
                <c:pt idx="7">
                  <c:v>1445379.4936893969</c:v>
                </c:pt>
                <c:pt idx="8">
                  <c:v>1517283.4213387151</c:v>
                </c:pt>
                <c:pt idx="9">
                  <c:v>1592433.4967815536</c:v>
                </c:pt>
                <c:pt idx="10">
                  <c:v>1671002.4988652573</c:v>
                </c:pt>
                <c:pt idx="11">
                  <c:v>1753171.5312358073</c:v>
                </c:pt>
                <c:pt idx="12">
                  <c:v>1968528.0853772813</c:v>
                </c:pt>
                <c:pt idx="13">
                  <c:v>2055050.199048385</c:v>
                </c:pt>
                <c:pt idx="14">
                  <c:v>2145139.3401407185</c:v>
                </c:pt>
                <c:pt idx="15">
                  <c:v>2238964.1017441107</c:v>
                </c:pt>
                <c:pt idx="16">
                  <c:v>2336700.3445373555</c:v>
                </c:pt>
                <c:pt idx="17">
                  <c:v>2438531.5299683735</c:v>
                </c:pt>
                <c:pt idx="18">
                  <c:v>2544649.0680897236</c:v>
                </c:pt>
                <c:pt idx="19">
                  <c:v>2655252.6807122282</c:v>
                </c:pt>
                <c:pt idx="20">
                  <c:v>2770550.7805688954</c:v>
                </c:pt>
                <c:pt idx="21">
                  <c:v>2890760.8672120287</c:v>
                </c:pt>
                <c:pt idx="22">
                  <c:v>3016109.940398592</c:v>
                </c:pt>
                <c:pt idx="23">
                  <c:v>3146834.9317524019</c:v>
                </c:pt>
                <c:pt idx="24">
                  <c:v>3509805.2914821743</c:v>
                </c:pt>
                <c:pt idx="25">
                  <c:v>3649221.0168198212</c:v>
                </c:pt>
                <c:pt idx="26">
                  <c:v>3792622.6452298276</c:v>
                </c:pt>
                <c:pt idx="27">
                  <c:v>3940190.7248755335</c:v>
                </c:pt>
                <c:pt idx="28">
                  <c:v>4092111.4147814028</c:v>
                </c:pt>
                <c:pt idx="29">
                  <c:v>4248576.7216762844</c:v>
                </c:pt>
                <c:pt idx="30">
                  <c:v>4409784.7446182379</c:v>
                </c:pt>
                <c:pt idx="31">
                  <c:v>4575939.9277144568</c:v>
                </c:pt>
                <c:pt idx="32">
                  <c:v>4747253.3212605165</c:v>
                </c:pt>
                <c:pt idx="33">
                  <c:v>4923942.8516342547</c:v>
                </c:pt>
                <c:pt idx="34">
                  <c:v>5106233.6002912028</c:v>
                </c:pt>
                <c:pt idx="35">
                  <c:v>5294358.0922203781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AC-6F48-9D53-53AA32A67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52421904"/>
        <c:axId val="31204573"/>
      </c:lineChart>
      <c:catAx>
        <c:axId val="524219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fr-F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1204573"/>
        <c:crosses val="autoZero"/>
        <c:auto val="1"/>
        <c:lblAlgn val="ctr"/>
        <c:lblOffset val="100"/>
        <c:noMultiLvlLbl val="0"/>
      </c:catAx>
      <c:valAx>
        <c:axId val="312045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MGA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242190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GMV mensuel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'Base graphique'!$A$7</c:f>
              <c:strCache>
                <c:ptCount val="1"/>
                <c:pt idx="0">
                  <c:v>GMV</c:v>
                </c:pt>
              </c:strCache>
            </c:strRef>
          </c:tx>
          <c:spPr>
            <a:ln w="284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'Base graphique'!$B$2:$AK$2</c:f>
              <c:numCache>
                <c:formatCode>0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'Base graphique'!$B$7:$AK$7</c:f>
              <c:numCache>
                <c:formatCode>#,##0;\(#,##0\)</c:formatCode>
                <c:ptCount val="36"/>
                <c:pt idx="0">
                  <c:v>2970000</c:v>
                </c:pt>
                <c:pt idx="1">
                  <c:v>3028350</c:v>
                </c:pt>
                <c:pt idx="2">
                  <c:v>3087849.9</c:v>
                </c:pt>
                <c:pt idx="3">
                  <c:v>3148522.4172000005</c:v>
                </c:pt>
                <c:pt idx="4">
                  <c:v>3210390.7184946006</c:v>
                </c:pt>
                <c:pt idx="5">
                  <c:v>3273478.4293892784</c:v>
                </c:pt>
                <c:pt idx="6">
                  <c:v>3337809.643093687</c:v>
                </c:pt>
                <c:pt idx="7">
                  <c:v>3403408.9297954906</c:v>
                </c:pt>
                <c:pt idx="8">
                  <c:v>3470301.346118323</c:v>
                </c:pt>
                <c:pt idx="9">
                  <c:v>3538512.4447675408</c:v>
                </c:pt>
                <c:pt idx="10">
                  <c:v>3608068.2843674812</c:v>
                </c:pt>
                <c:pt idx="11">
                  <c:v>3678995.4394940599</c:v>
                </c:pt>
                <c:pt idx="12">
                  <c:v>4050968.7052322244</c:v>
                </c:pt>
                <c:pt idx="13">
                  <c:v>4139496.2049496495</c:v>
                </c:pt>
                <c:pt idx="14">
                  <c:v>4229971.1550351083</c:v>
                </c:pt>
                <c:pt idx="15">
                  <c:v>4322436.58047581</c:v>
                </c:pt>
                <c:pt idx="16">
                  <c:v>4416936.4595039627</c:v>
                </c:pt>
                <c:pt idx="17">
                  <c:v>4513515.7447568048</c:v>
                </c:pt>
                <c:pt idx="18">
                  <c:v>4612220.38490697</c:v>
                </c:pt>
                <c:pt idx="19">
                  <c:v>4713097.346773643</c:v>
                </c:pt>
                <c:pt idx="20">
                  <c:v>4816194.6379252085</c:v>
                </c:pt>
                <c:pt idx="21">
                  <c:v>4921561.3297843318</c:v>
                </c:pt>
                <c:pt idx="22">
                  <c:v>5029247.5812466349</c:v>
                </c:pt>
                <c:pt idx="23">
                  <c:v>5139304.6628244137</c:v>
                </c:pt>
                <c:pt idx="24">
                  <c:v>5671495.7756192666</c:v>
                </c:pt>
                <c:pt idx="25">
                  <c:v>5808025.8436288787</c:v>
                </c:pt>
                <c:pt idx="26">
                  <c:v>5947870.8979233708</c:v>
                </c:pt>
                <c:pt idx="27">
                  <c:v>6091111.7798558734</c:v>
                </c:pt>
                <c:pt idx="28">
                  <c:v>6237831.3065846134</c:v>
                </c:pt>
                <c:pt idx="29">
                  <c:v>6388114.3194162166</c:v>
                </c:pt>
                <c:pt idx="30">
                  <c:v>6542047.7333325278</c:v>
                </c:pt>
                <c:pt idx="31">
                  <c:v>6699720.5877299085</c:v>
                </c:pt>
                <c:pt idx="32">
                  <c:v>6861224.0984007148</c:v>
                </c:pt>
                <c:pt idx="33">
                  <c:v>7026651.7107873773</c:v>
                </c:pt>
                <c:pt idx="34">
                  <c:v>7196099.1545402333</c:v>
                </c:pt>
                <c:pt idx="35">
                  <c:v>7369664.499411054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AA-CC45-ACB9-83E79FFDD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55949997"/>
        <c:axId val="51339929"/>
      </c:lineChart>
      <c:catAx>
        <c:axId val="559499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fr-F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1339929"/>
        <c:crosses val="autoZero"/>
        <c:auto val="1"/>
        <c:lblAlgn val="ctr"/>
        <c:lblOffset val="100"/>
        <c:noMultiLvlLbl val="0"/>
      </c:catAx>
      <c:valAx>
        <c:axId val="513399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MGA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594999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14</xdr:col>
      <xdr:colOff>155880</xdr:colOff>
      <xdr:row>18</xdr:row>
      <xdr:rowOff>47160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38100</xdr:colOff>
      <xdr:row>19</xdr:row>
      <xdr:rowOff>76120</xdr:rowOff>
    </xdr:from>
    <xdr:to>
      <xdr:col>14</xdr:col>
      <xdr:colOff>193980</xdr:colOff>
      <xdr:row>34</xdr:row>
      <xdr:rowOff>4120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35</xdr:row>
      <xdr:rowOff>0</xdr:rowOff>
    </xdr:from>
    <xdr:to>
      <xdr:col>14</xdr:col>
      <xdr:colOff>155880</xdr:colOff>
      <xdr:row>49</xdr:row>
      <xdr:rowOff>29520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304940</xdr:colOff>
      <xdr:row>3</xdr:row>
      <xdr:rowOff>0</xdr:rowOff>
    </xdr:from>
    <xdr:to>
      <xdr:col>23</xdr:col>
      <xdr:colOff>460820</xdr:colOff>
      <xdr:row>18</xdr:row>
      <xdr:rowOff>47160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showGridLines="0" topLeftCell="A45" zoomScale="110" zoomScaleNormal="110" workbookViewId="0">
      <selection activeCell="A65" sqref="A65"/>
    </sheetView>
  </sheetViews>
  <sheetFormatPr baseColWidth="10" defaultColWidth="8.83203125" defaultRowHeight="15" x14ac:dyDescent="0.2"/>
  <cols>
    <col min="1" max="1" width="120" customWidth="1"/>
  </cols>
  <sheetData>
    <row r="1" spans="1:8" ht="22" customHeight="1" x14ac:dyDescent="0.25">
      <c r="A1" s="6" t="s">
        <v>0</v>
      </c>
      <c r="B1" s="6"/>
      <c r="C1" s="6"/>
      <c r="D1" s="6"/>
      <c r="E1" s="6"/>
      <c r="F1" s="6"/>
      <c r="G1" s="6"/>
      <c r="H1" s="6"/>
    </row>
    <row r="3" spans="1:8" ht="15" customHeight="1" x14ac:dyDescent="0.2">
      <c r="A3" s="7" t="s">
        <v>1</v>
      </c>
      <c r="B3" s="8"/>
      <c r="C3" s="8"/>
      <c r="D3" s="8"/>
      <c r="E3" s="8"/>
      <c r="F3" s="8"/>
      <c r="G3" s="8"/>
      <c r="H3" s="8"/>
    </row>
    <row r="4" spans="1:8" ht="15" customHeight="1" x14ac:dyDescent="0.2">
      <c r="A4" s="9" t="s">
        <v>2</v>
      </c>
    </row>
    <row r="5" spans="1:8" ht="15" customHeight="1" x14ac:dyDescent="0.2">
      <c r="A5" s="9" t="s">
        <v>3</v>
      </c>
    </row>
    <row r="7" spans="1:8" ht="15" customHeight="1" x14ac:dyDescent="0.2">
      <c r="A7" s="7" t="s">
        <v>4</v>
      </c>
      <c r="B7" s="8"/>
      <c r="C7" s="8"/>
      <c r="D7" s="8"/>
      <c r="E7" s="8"/>
      <c r="F7" s="8"/>
      <c r="G7" s="8"/>
      <c r="H7" s="8"/>
    </row>
    <row r="8" spans="1:8" ht="15" customHeight="1" x14ac:dyDescent="0.2">
      <c r="A8" s="9" t="s">
        <v>5</v>
      </c>
    </row>
    <row r="9" spans="1:8" ht="15" customHeight="1" x14ac:dyDescent="0.2">
      <c r="A9" s="9" t="s">
        <v>6</v>
      </c>
    </row>
    <row r="10" spans="1:8" ht="15" customHeight="1" x14ac:dyDescent="0.2">
      <c r="A10" s="9" t="s">
        <v>7</v>
      </c>
    </row>
    <row r="11" spans="1:8" ht="15" customHeight="1" x14ac:dyDescent="0.2">
      <c r="A11" s="9" t="s">
        <v>8</v>
      </c>
    </row>
    <row r="12" spans="1:8" ht="15" customHeight="1" x14ac:dyDescent="0.2">
      <c r="A12" s="9" t="s">
        <v>9</v>
      </c>
    </row>
    <row r="13" spans="1:8" ht="15" customHeight="1" x14ac:dyDescent="0.2">
      <c r="A13" s="9" t="s">
        <v>10</v>
      </c>
    </row>
    <row r="14" spans="1:8" ht="15" customHeight="1" x14ac:dyDescent="0.2">
      <c r="A14" s="9" t="s">
        <v>11</v>
      </c>
    </row>
    <row r="15" spans="1:8" ht="15" customHeight="1" x14ac:dyDescent="0.2">
      <c r="A15" s="9" t="s">
        <v>12</v>
      </c>
    </row>
    <row r="16" spans="1:8" ht="15" customHeight="1" x14ac:dyDescent="0.2">
      <c r="A16" s="7" t="s">
        <v>13</v>
      </c>
      <c r="B16" s="8"/>
      <c r="C16" s="8"/>
      <c r="D16" s="8"/>
      <c r="E16" s="8"/>
      <c r="F16" s="8"/>
      <c r="G16" s="8"/>
      <c r="H16" s="8"/>
    </row>
    <row r="17" spans="1:8" ht="15" customHeight="1" x14ac:dyDescent="0.2">
      <c r="A17" s="9" t="s">
        <v>14</v>
      </c>
    </row>
    <row r="18" spans="1:8" ht="15" customHeight="1" x14ac:dyDescent="0.2">
      <c r="A18" s="9" t="s">
        <v>15</v>
      </c>
    </row>
    <row r="19" spans="1:8" ht="15" customHeight="1" x14ac:dyDescent="0.2">
      <c r="A19" s="9" t="s">
        <v>16</v>
      </c>
    </row>
    <row r="20" spans="1:8" ht="15" customHeight="1" x14ac:dyDescent="0.2">
      <c r="A20" s="9" t="s">
        <v>17</v>
      </c>
    </row>
    <row r="22" spans="1:8" ht="15" customHeight="1" x14ac:dyDescent="0.2">
      <c r="A22" s="9" t="s">
        <v>18</v>
      </c>
    </row>
    <row r="23" spans="1:8" ht="15" customHeight="1" x14ac:dyDescent="0.2">
      <c r="A23" s="9" t="s">
        <v>19</v>
      </c>
    </row>
    <row r="24" spans="1:8" ht="15" customHeight="1" x14ac:dyDescent="0.2">
      <c r="A24" s="9" t="s">
        <v>20</v>
      </c>
    </row>
    <row r="25" spans="1:8" ht="15" customHeight="1" x14ac:dyDescent="0.2">
      <c r="A25" s="9" t="s">
        <v>21</v>
      </c>
    </row>
    <row r="27" spans="1:8" ht="15" customHeight="1" x14ac:dyDescent="0.2">
      <c r="A27" s="7" t="s">
        <v>22</v>
      </c>
      <c r="B27" s="8"/>
      <c r="C27" s="8"/>
      <c r="D27" s="8"/>
      <c r="E27" s="8"/>
      <c r="F27" s="8"/>
      <c r="G27" s="8"/>
      <c r="H27" s="8"/>
    </row>
    <row r="28" spans="1:8" ht="15" customHeight="1" x14ac:dyDescent="0.2">
      <c r="A28" s="9" t="s">
        <v>23</v>
      </c>
    </row>
    <row r="29" spans="1:8" ht="15" customHeight="1" x14ac:dyDescent="0.2">
      <c r="A29" s="9" t="s">
        <v>24</v>
      </c>
    </row>
    <row r="31" spans="1:8" ht="15" customHeight="1" x14ac:dyDescent="0.2">
      <c r="A31" s="7" t="s">
        <v>25</v>
      </c>
      <c r="B31" s="8"/>
      <c r="C31" s="8"/>
      <c r="D31" s="8"/>
      <c r="E31" s="8"/>
      <c r="F31" s="8"/>
      <c r="G31" s="8"/>
      <c r="H31" s="8"/>
    </row>
    <row r="32" spans="1:8" ht="15" customHeight="1" x14ac:dyDescent="0.2">
      <c r="A32" s="9" t="s">
        <v>26</v>
      </c>
    </row>
    <row r="33" spans="1:8" ht="15" customHeight="1" x14ac:dyDescent="0.2">
      <c r="A33" s="9" t="s">
        <v>27</v>
      </c>
    </row>
    <row r="34" spans="1:8" ht="15" customHeight="1" x14ac:dyDescent="0.2">
      <c r="A34" s="9" t="s">
        <v>28</v>
      </c>
    </row>
    <row r="35" spans="1:8" x14ac:dyDescent="0.2">
      <c r="A35" s="86" t="s">
        <v>29</v>
      </c>
    </row>
    <row r="36" spans="1:8" x14ac:dyDescent="0.2">
      <c r="A36" t="s">
        <v>30</v>
      </c>
    </row>
    <row r="37" spans="1:8" ht="16" customHeight="1" x14ac:dyDescent="0.2">
      <c r="A37" s="7" t="s">
        <v>31</v>
      </c>
      <c r="B37" s="8"/>
      <c r="C37" s="8"/>
      <c r="D37" s="8"/>
      <c r="E37" s="8"/>
      <c r="F37" s="8"/>
      <c r="G37" s="8"/>
      <c r="H37" s="8"/>
    </row>
    <row r="38" spans="1:8" x14ac:dyDescent="0.2">
      <c r="A38" s="5" t="s">
        <v>32</v>
      </c>
    </row>
    <row r="39" spans="1:8" ht="16" customHeight="1" x14ac:dyDescent="0.2">
      <c r="A39" s="10" t="s">
        <v>33</v>
      </c>
    </row>
    <row r="40" spans="1:8" ht="28" customHeight="1" x14ac:dyDescent="0.2">
      <c r="A40" s="9" t="s">
        <v>34</v>
      </c>
    </row>
    <row r="41" spans="1:8" ht="28" customHeight="1" x14ac:dyDescent="0.2">
      <c r="A41" s="9" t="s">
        <v>35</v>
      </c>
    </row>
    <row r="42" spans="1:8" ht="28" customHeight="1" x14ac:dyDescent="0.2">
      <c r="A42" s="9" t="s">
        <v>36</v>
      </c>
    </row>
    <row r="43" spans="1:8" ht="28" customHeight="1" x14ac:dyDescent="0.2">
      <c r="A43" s="9" t="s">
        <v>37</v>
      </c>
    </row>
    <row r="44" spans="1:8" ht="28" customHeight="1" x14ac:dyDescent="0.2">
      <c r="A44" s="9" t="s">
        <v>38</v>
      </c>
    </row>
    <row r="45" spans="1:8" ht="28" customHeight="1" x14ac:dyDescent="0.2">
      <c r="A45" s="36" t="s">
        <v>39</v>
      </c>
    </row>
    <row r="46" spans="1:8" x14ac:dyDescent="0.2">
      <c r="A46" s="5" t="s">
        <v>40</v>
      </c>
    </row>
    <row r="47" spans="1:8" ht="16" customHeight="1" x14ac:dyDescent="0.2">
      <c r="A47" s="7" t="s">
        <v>41</v>
      </c>
      <c r="B47" s="8"/>
      <c r="C47" s="8"/>
      <c r="D47" s="8"/>
      <c r="E47" s="8"/>
      <c r="F47" s="8"/>
      <c r="G47" s="8"/>
      <c r="H47" s="8"/>
    </row>
    <row r="48" spans="1:8" ht="28" customHeight="1" x14ac:dyDescent="0.2">
      <c r="A48" s="9" t="s">
        <v>42</v>
      </c>
    </row>
    <row r="49" spans="1:8" x14ac:dyDescent="0.2">
      <c r="A49" s="5"/>
    </row>
    <row r="50" spans="1:8" ht="16" customHeight="1" x14ac:dyDescent="0.2">
      <c r="A50" s="7" t="s">
        <v>43</v>
      </c>
      <c r="B50" s="8"/>
      <c r="C50" s="8"/>
      <c r="D50" s="8"/>
      <c r="E50" s="8"/>
      <c r="F50" s="8"/>
      <c r="G50" s="8"/>
      <c r="H50" s="8"/>
    </row>
    <row r="51" spans="1:8" ht="28" customHeight="1" x14ac:dyDescent="0.2">
      <c r="A51" s="9" t="s">
        <v>44</v>
      </c>
    </row>
    <row r="52" spans="1:8" x14ac:dyDescent="0.2">
      <c r="A52" s="5"/>
    </row>
    <row r="53" spans="1:8" ht="16" customHeight="1" x14ac:dyDescent="0.2">
      <c r="A53" s="10" t="s">
        <v>45</v>
      </c>
    </row>
    <row r="54" spans="1:8" ht="28" customHeight="1" x14ac:dyDescent="0.2">
      <c r="A54" s="9" t="s">
        <v>46</v>
      </c>
    </row>
    <row r="55" spans="1:8" x14ac:dyDescent="0.2">
      <c r="A55" s="5"/>
    </row>
    <row r="56" spans="1:8" ht="16" x14ac:dyDescent="0.2">
      <c r="A56" s="109" t="s">
        <v>47</v>
      </c>
    </row>
    <row r="57" spans="1:8" ht="48" customHeight="1" x14ac:dyDescent="0.2">
      <c r="A57" s="86" t="s">
        <v>48</v>
      </c>
    </row>
    <row r="58" spans="1:8" ht="30" x14ac:dyDescent="0.2">
      <c r="A58" s="86" t="s">
        <v>49</v>
      </c>
    </row>
    <row r="59" spans="1:8" ht="30" x14ac:dyDescent="0.2">
      <c r="A59" s="86" t="s">
        <v>50</v>
      </c>
    </row>
    <row r="60" spans="1:8" x14ac:dyDescent="0.2">
      <c r="A60" s="86" t="s">
        <v>51</v>
      </c>
    </row>
    <row r="61" spans="1:8" ht="30" x14ac:dyDescent="0.2">
      <c r="A61" s="86" t="s">
        <v>52</v>
      </c>
    </row>
    <row r="63" spans="1:8" ht="45" x14ac:dyDescent="0.2">
      <c r="A63" s="110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9"/>
  <sheetViews>
    <sheetView showGridLines="0" tabSelected="1" zoomScaleNormal="100" workbookViewId="0">
      <pane ySplit="2" topLeftCell="A3" activePane="bottomLeft" state="frozen"/>
      <selection pane="bottomLeft" activeCell="A7" sqref="A7"/>
    </sheetView>
  </sheetViews>
  <sheetFormatPr baseColWidth="10" defaultColWidth="8.83203125" defaultRowHeight="15" x14ac:dyDescent="0.2"/>
  <cols>
    <col min="1" max="1" width="58" customWidth="1"/>
    <col min="2" max="2" width="20" customWidth="1"/>
  </cols>
  <sheetData>
    <row r="1" spans="1:12" ht="22" customHeight="1" x14ac:dyDescent="0.25">
      <c r="A1" s="6" t="s">
        <v>54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5.75" customHeight="1" x14ac:dyDescent="0.2">
      <c r="A2" s="37" t="s">
        <v>55</v>
      </c>
      <c r="B2" s="38" t="str">
        <f>Parametres!B3</f>
        <v>Base</v>
      </c>
    </row>
    <row r="3" spans="1:12" x14ac:dyDescent="0.2">
      <c r="A3" s="39"/>
      <c r="B3" s="39"/>
    </row>
    <row r="4" spans="1:12" ht="15" customHeight="1" x14ac:dyDescent="0.2">
      <c r="A4" s="40" t="s">
        <v>56</v>
      </c>
      <c r="B4" s="40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2" ht="15" customHeight="1" x14ac:dyDescent="0.2">
      <c r="A5" s="39" t="s">
        <v>57</v>
      </c>
      <c r="B5" s="41">
        <f>'P&amp;L'!B30</f>
        <v>21706620.515684549</v>
      </c>
    </row>
    <row r="6" spans="1:12" ht="15" customHeight="1" x14ac:dyDescent="0.2">
      <c r="A6" s="39" t="s">
        <v>58</v>
      </c>
      <c r="B6" s="41">
        <f>'P&amp;L'!C30</f>
        <v>38087023.901923612</v>
      </c>
    </row>
    <row r="7" spans="1:12" ht="15" customHeight="1" x14ac:dyDescent="0.2">
      <c r="A7" s="39" t="s">
        <v>59</v>
      </c>
      <c r="B7" s="41">
        <f>'P&amp;L'!D30</f>
        <v>63455216.003053702</v>
      </c>
    </row>
    <row r="8" spans="1:12" ht="15" customHeight="1" x14ac:dyDescent="0.2">
      <c r="A8" s="39" t="s">
        <v>60</v>
      </c>
      <c r="B8" s="42">
        <f>KPI!C58</f>
        <v>0.75462706755310327</v>
      </c>
    </row>
    <row r="9" spans="1:12" ht="15" customHeight="1" x14ac:dyDescent="0.2">
      <c r="A9" s="39" t="s">
        <v>61</v>
      </c>
      <c r="B9" s="42">
        <f>KPI!D58</f>
        <v>0.66605865993769209</v>
      </c>
    </row>
    <row r="10" spans="1:12" ht="15" customHeight="1" x14ac:dyDescent="0.2">
      <c r="A10" s="39" t="s">
        <v>62</v>
      </c>
      <c r="B10" s="41">
        <f>KPI!D51</f>
        <v>77839857.707230031</v>
      </c>
    </row>
    <row r="11" spans="1:12" ht="15" customHeight="1" x14ac:dyDescent="0.2">
      <c r="A11" s="39" t="s">
        <v>63</v>
      </c>
      <c r="B11" s="42">
        <f>KPI!D53</f>
        <v>0.14343777056278648</v>
      </c>
    </row>
    <row r="12" spans="1:12" ht="15" customHeight="1" x14ac:dyDescent="0.2">
      <c r="A12" s="39" t="s">
        <v>64</v>
      </c>
      <c r="B12" s="41">
        <f>KPI!D54</f>
        <v>5294358.0922203781</v>
      </c>
    </row>
    <row r="13" spans="1:12" ht="15" customHeight="1" x14ac:dyDescent="0.2">
      <c r="A13" s="39" t="s">
        <v>65</v>
      </c>
      <c r="B13" s="41">
        <f>KPI!D54*12</f>
        <v>63532297.106644541</v>
      </c>
    </row>
    <row r="14" spans="1:12" x14ac:dyDescent="0.2">
      <c r="A14" s="39"/>
      <c r="B14" s="39"/>
    </row>
    <row r="15" spans="1:12" ht="15" customHeight="1" x14ac:dyDescent="0.2">
      <c r="A15" s="40" t="s">
        <v>66</v>
      </c>
      <c r="B15" s="40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 ht="15" customHeight="1" x14ac:dyDescent="0.2">
      <c r="A16" s="39" t="s">
        <v>67</v>
      </c>
      <c r="B16" s="42">
        <f>IFERROR(SUM(Contribution!Z12:AK12)/SUM(Contribution!Z5:AK5),0)</f>
        <v>0.8883577956231471</v>
      </c>
    </row>
    <row r="17" spans="1:12" ht="15" customHeight="1" x14ac:dyDescent="0.2">
      <c r="A17" s="39" t="s">
        <v>68</v>
      </c>
      <c r="B17" s="41">
        <f>'P&amp;L'!D31</f>
        <v>8893982.0748634301</v>
      </c>
    </row>
    <row r="18" spans="1:12" ht="15" customHeight="1" x14ac:dyDescent="0.2">
      <c r="A18" s="39" t="s">
        <v>69</v>
      </c>
      <c r="B18" s="41">
        <f>'P&amp;L'!B35</f>
        <v>-21609440.131310072</v>
      </c>
    </row>
    <row r="19" spans="1:12" ht="15" customHeight="1" x14ac:dyDescent="0.2">
      <c r="A19" s="39" t="s">
        <v>70</v>
      </c>
      <c r="B19" s="41">
        <f>'P&amp;L'!C35</f>
        <v>-9978577.096330164</v>
      </c>
    </row>
    <row r="20" spans="1:12" ht="15" customHeight="1" x14ac:dyDescent="0.2">
      <c r="A20" s="39" t="s">
        <v>71</v>
      </c>
      <c r="B20" s="41">
        <f>'P&amp;L'!D35</f>
        <v>2560743.9669084931</v>
      </c>
    </row>
    <row r="21" spans="1:12" ht="15" customHeight="1" x14ac:dyDescent="0.2">
      <c r="A21" s="39" t="s">
        <v>72</v>
      </c>
      <c r="B21" s="41">
        <f>-AVERAGE('P&amp;L'!B17:AK17)/AVERAGE('P&amp;L'!B9:AK9)</f>
        <v>3845081.3124034107</v>
      </c>
    </row>
    <row r="22" spans="1:12" ht="15" customHeight="1" x14ac:dyDescent="0.2">
      <c r="A22" s="39" t="s">
        <v>73</v>
      </c>
      <c r="B22" s="43">
        <f>IFERROR(MATCH(TRUE(),INDEX('P&amp;L'!B18:AK18&gt;0,0),0),"&gt; 36 mois")</f>
        <v>22</v>
      </c>
    </row>
    <row r="23" spans="1:12" ht="15" customHeight="1" x14ac:dyDescent="0.2">
      <c r="A23" s="39" t="s">
        <v>74</v>
      </c>
      <c r="B23" s="43" t="str">
        <f>IFERROR(MATCH(TRUE(),INDEX('Base graphique'!B8:AK8&gt;0,0),0),"&gt; 36 mois")</f>
        <v>&gt; 36 mois</v>
      </c>
    </row>
    <row r="24" spans="1:12" x14ac:dyDescent="0.2">
      <c r="A24" s="39"/>
      <c r="B24" s="39"/>
    </row>
    <row r="25" spans="1:12" ht="15" customHeight="1" x14ac:dyDescent="0.2">
      <c r="A25" s="40" t="s">
        <v>75</v>
      </c>
      <c r="B25" s="40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 ht="15" customHeight="1" x14ac:dyDescent="0.2">
      <c r="A26" s="39" t="s">
        <v>76</v>
      </c>
      <c r="B26" s="41">
        <f>KPI!D63</f>
        <v>32325.362526315792</v>
      </c>
    </row>
    <row r="27" spans="1:12" ht="15" customHeight="1" x14ac:dyDescent="0.2">
      <c r="A27" s="39" t="s">
        <v>77</v>
      </c>
      <c r="B27" s="41">
        <f>KPI!D64</f>
        <v>22872.078923238449</v>
      </c>
    </row>
    <row r="28" spans="1:12" ht="15" customHeight="1" x14ac:dyDescent="0.2">
      <c r="A28" s="39" t="s">
        <v>78</v>
      </c>
      <c r="B28" s="44">
        <f>KPI!D65</f>
        <v>5.7660133173982606</v>
      </c>
    </row>
    <row r="29" spans="1:12" ht="15" customHeight="1" x14ac:dyDescent="0.2">
      <c r="A29" s="39" t="s">
        <v>79</v>
      </c>
      <c r="B29" s="44">
        <f>KPI!D66</f>
        <v>15.043695133623604</v>
      </c>
    </row>
    <row r="30" spans="1:12" ht="15" customHeight="1" x14ac:dyDescent="0.2">
      <c r="A30" s="39" t="s">
        <v>80</v>
      </c>
      <c r="B30" s="45">
        <f>KPI!D59</f>
        <v>121.62288507916993</v>
      </c>
    </row>
    <row r="31" spans="1:12" x14ac:dyDescent="0.2">
      <c r="A31" s="39" t="s">
        <v>81</v>
      </c>
      <c r="B31" s="42">
        <f>KPI!D60</f>
        <v>0.16634719798469891</v>
      </c>
    </row>
    <row r="32" spans="1:12" ht="15" customHeight="1" x14ac:dyDescent="0.2">
      <c r="A32" s="39" t="s">
        <v>82</v>
      </c>
      <c r="B32" s="41">
        <f>SUM(KPI!B61:D61)</f>
        <v>0</v>
      </c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2" ht="15" customHeight="1" x14ac:dyDescent="0.2">
      <c r="A33" s="39" t="s">
        <v>83</v>
      </c>
      <c r="B33" s="43">
        <f>IFERROR(MATCH(1,'Plan ventes'!B70:AK70,0),"&gt; 36 mois")</f>
        <v>25</v>
      </c>
    </row>
    <row r="34" spans="1:2" ht="15" customHeight="1" x14ac:dyDescent="0.2">
      <c r="A34" s="39"/>
      <c r="B34" s="39"/>
    </row>
    <row r="35" spans="1:2" ht="15" customHeight="1" x14ac:dyDescent="0.2">
      <c r="A35" s="40" t="s">
        <v>84</v>
      </c>
      <c r="B35" s="40"/>
    </row>
    <row r="36" spans="1:2" ht="15" customHeight="1" x14ac:dyDescent="0.2">
      <c r="A36" s="39" t="s">
        <v>85</v>
      </c>
      <c r="B36" s="41">
        <f>Financement!B11</f>
        <v>52008307.480000004</v>
      </c>
    </row>
    <row r="37" spans="1:2" ht="15" customHeight="1" x14ac:dyDescent="0.2">
      <c r="A37" s="39" t="s">
        <v>86</v>
      </c>
      <c r="B37" s="41">
        <f>Financement!B14</f>
        <v>9000000</v>
      </c>
    </row>
    <row r="38" spans="1:2" ht="15" customHeight="1" x14ac:dyDescent="0.2">
      <c r="A38" s="37" t="s">
        <v>87</v>
      </c>
      <c r="B38" s="46">
        <f>Financement!B18</f>
        <v>43008307.480000004</v>
      </c>
    </row>
    <row r="39" spans="1:2" ht="15" customHeight="1" x14ac:dyDescent="0.2">
      <c r="A39" s="39" t="s">
        <v>88</v>
      </c>
      <c r="B39" s="41">
        <f>Financement!B19</f>
        <v>12902492.244000001</v>
      </c>
    </row>
    <row r="40" spans="1:2" x14ac:dyDescent="0.2">
      <c r="A40" s="39" t="s">
        <v>89</v>
      </c>
      <c r="B40" s="41">
        <f>Financement!B20</f>
        <v>30105815.236000001</v>
      </c>
    </row>
    <row r="41" spans="1:2" x14ac:dyDescent="0.2">
      <c r="A41" s="39" t="s">
        <v>90</v>
      </c>
      <c r="B41" s="41">
        <f>Financement!B26</f>
        <v>892781.72435409832</v>
      </c>
    </row>
    <row r="42" spans="1:2" x14ac:dyDescent="0.2">
      <c r="A42" s="39" t="s">
        <v>91</v>
      </c>
      <c r="B42" s="41">
        <f>Tresorerie!AM25</f>
        <v>-2445043.6275112294</v>
      </c>
    </row>
    <row r="43" spans="1:2" x14ac:dyDescent="0.2">
      <c r="A43" s="39" t="s">
        <v>92</v>
      </c>
      <c r="B43" s="41">
        <f>Financement!B39</f>
        <v>-2445043.6275112294</v>
      </c>
    </row>
    <row r="44" spans="1:2" x14ac:dyDescent="0.2">
      <c r="A44" s="39" t="s">
        <v>93</v>
      </c>
      <c r="B44" s="41">
        <f>Financement!B10</f>
        <v>8416749</v>
      </c>
    </row>
    <row r="45" spans="1:2" x14ac:dyDescent="0.2">
      <c r="A45" s="37" t="s">
        <v>94</v>
      </c>
      <c r="B45" s="47" t="str">
        <f>Financement!B40</f>
        <v>INSUFFISANT — augmenter apport, mois financés ou durée</v>
      </c>
    </row>
    <row r="46" spans="1:2" x14ac:dyDescent="0.2">
      <c r="A46" s="39" t="s">
        <v>95</v>
      </c>
      <c r="B46" s="41">
        <f>Financement!B44</f>
        <v>19542229.633220524</v>
      </c>
    </row>
    <row r="47" spans="1:2" x14ac:dyDescent="0.2">
      <c r="A47" s="39" t="s">
        <v>96</v>
      </c>
      <c r="B47" s="44">
        <f>INDEX(KPI!B47:AK47,1,36)</f>
        <v>-0.17607797161285543</v>
      </c>
    </row>
    <row r="48" spans="1:2" x14ac:dyDescent="0.2">
      <c r="A48" s="39"/>
      <c r="B48" s="39"/>
    </row>
    <row r="49" spans="1:2" x14ac:dyDescent="0.2">
      <c r="A49" s="40" t="s">
        <v>97</v>
      </c>
      <c r="B49" s="40"/>
    </row>
    <row r="50" spans="1:2" x14ac:dyDescent="0.2">
      <c r="A50" s="39" t="s">
        <v>98</v>
      </c>
      <c r="B50" s="42">
        <f>KPI!D67</f>
        <v>0.8062202200911619</v>
      </c>
    </row>
    <row r="51" spans="1:2" x14ac:dyDescent="0.2">
      <c r="A51" s="39" t="s">
        <v>99</v>
      </c>
      <c r="B51" s="48">
        <f>MAX(ABS(Bilan!C18),ABS(Bilan!AM18))</f>
        <v>1.1175870895385742E-8</v>
      </c>
    </row>
    <row r="52" spans="1:2" x14ac:dyDescent="0.2">
      <c r="A52" s="39" t="s">
        <v>100</v>
      </c>
      <c r="B52" s="48">
        <f>MAX(ABS(MIN(Contribution!B20:AK20)),ABS(MAX(Contribution!B20:AK20)))</f>
        <v>0</v>
      </c>
    </row>
    <row r="53" spans="1:2" x14ac:dyDescent="0.2">
      <c r="A53" s="39" t="s">
        <v>101</v>
      </c>
      <c r="B53" s="42">
        <f>Parametres!$D$14</f>
        <v>1</v>
      </c>
    </row>
    <row r="54" spans="1:2" x14ac:dyDescent="0.2">
      <c r="A54" s="39"/>
      <c r="B54" s="39"/>
    </row>
    <row r="55" spans="1:2" x14ac:dyDescent="0.2">
      <c r="A55" s="39"/>
      <c r="B55" s="39"/>
    </row>
    <row r="56" spans="1:2" x14ac:dyDescent="0.2">
      <c r="A56" s="39"/>
      <c r="B56" s="39"/>
    </row>
    <row r="57" spans="1:2" x14ac:dyDescent="0.2">
      <c r="A57" s="39"/>
      <c r="B57" s="39"/>
    </row>
    <row r="58" spans="1:2" x14ac:dyDescent="0.2">
      <c r="A58" s="39"/>
      <c r="B58" s="39"/>
    </row>
    <row r="59" spans="1:2" x14ac:dyDescent="0.2">
      <c r="A59" s="39"/>
      <c r="B59" s="39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9"/>
  </sheetPr>
  <dimension ref="A1:H165"/>
  <sheetViews>
    <sheetView showGridLines="0" zoomScale="110" zoomScaleNormal="110" workbookViewId="0">
      <pane ySplit="3" topLeftCell="A4" activePane="bottomLeft" state="frozen"/>
      <selection pane="bottomLeft" activeCell="C116" sqref="C116"/>
    </sheetView>
  </sheetViews>
  <sheetFormatPr baseColWidth="10" defaultColWidth="8.83203125" defaultRowHeight="15" x14ac:dyDescent="0.2"/>
  <cols>
    <col min="1" max="1" width="66" customWidth="1"/>
    <col min="2" max="2" width="14" customWidth="1"/>
    <col min="3" max="3" width="22" customWidth="1"/>
    <col min="4" max="4" width="15" customWidth="1"/>
    <col min="5" max="5" width="72" customWidth="1"/>
    <col min="6" max="8" width="12" customWidth="1"/>
  </cols>
  <sheetData>
    <row r="1" spans="1:8" ht="22" customHeight="1" x14ac:dyDescent="0.25">
      <c r="A1" s="49" t="s">
        <v>102</v>
      </c>
      <c r="B1" s="49"/>
      <c r="C1" s="49"/>
      <c r="D1" s="49"/>
      <c r="E1" s="49"/>
      <c r="F1" s="49"/>
      <c r="G1" s="49"/>
      <c r="H1" s="49"/>
    </row>
    <row r="2" spans="1:8" x14ac:dyDescent="0.2">
      <c r="A2" s="37" t="s">
        <v>103</v>
      </c>
      <c r="B2" s="50">
        <v>2</v>
      </c>
      <c r="C2" s="39"/>
      <c r="D2" s="39"/>
      <c r="E2" s="39"/>
      <c r="F2" s="39"/>
      <c r="G2" s="39"/>
      <c r="H2" s="39"/>
    </row>
    <row r="3" spans="1:8" x14ac:dyDescent="0.2">
      <c r="A3" s="39" t="s">
        <v>104</v>
      </c>
      <c r="B3" s="51" t="str">
        <f>CHOOSE(B2,"Prudent","Base","Optimiste")</f>
        <v>Base</v>
      </c>
      <c r="C3" s="39"/>
      <c r="D3" s="39"/>
      <c r="E3" s="39"/>
      <c r="F3" s="39"/>
      <c r="G3" s="39"/>
      <c r="H3" s="39"/>
    </row>
    <row r="4" spans="1:8" x14ac:dyDescent="0.2">
      <c r="A4" s="39"/>
      <c r="B4" s="39"/>
      <c r="C4" s="39"/>
      <c r="D4" s="39"/>
      <c r="E4" s="39"/>
      <c r="F4" s="39"/>
      <c r="G4" s="39"/>
      <c r="H4" s="39"/>
    </row>
    <row r="5" spans="1:8" ht="18" customHeight="1" x14ac:dyDescent="0.2">
      <c r="A5" s="40" t="s">
        <v>105</v>
      </c>
      <c r="B5" s="40"/>
      <c r="C5" s="40"/>
      <c r="D5" s="40"/>
      <c r="E5" s="40"/>
      <c r="F5" s="40"/>
      <c r="G5" s="40"/>
      <c r="H5" s="40"/>
    </row>
    <row r="6" spans="1:8" x14ac:dyDescent="0.2">
      <c r="A6" s="52" t="s">
        <v>106</v>
      </c>
      <c r="B6" s="52" t="s">
        <v>107</v>
      </c>
      <c r="C6" s="52" t="s">
        <v>108</v>
      </c>
      <c r="D6" s="52" t="s">
        <v>109</v>
      </c>
      <c r="E6" s="52" t="s">
        <v>110</v>
      </c>
      <c r="F6" s="52"/>
      <c r="G6" s="52"/>
      <c r="H6" s="52"/>
    </row>
    <row r="7" spans="1:8" x14ac:dyDescent="0.2">
      <c r="A7" s="53" t="s">
        <v>111</v>
      </c>
      <c r="B7" s="54">
        <v>75</v>
      </c>
      <c r="C7" s="55" t="s">
        <v>112</v>
      </c>
      <c r="D7" s="48">
        <f>B7*Scenarios!$E$4</f>
        <v>75</v>
      </c>
      <c r="E7" s="56" t="s">
        <v>113</v>
      </c>
      <c r="F7" s="39"/>
      <c r="G7" s="39"/>
      <c r="H7" s="39"/>
    </row>
    <row r="8" spans="1:8" x14ac:dyDescent="0.2">
      <c r="A8" s="53" t="s">
        <v>114</v>
      </c>
      <c r="B8" s="57">
        <v>35000</v>
      </c>
      <c r="C8" s="55" t="s">
        <v>115</v>
      </c>
      <c r="D8" s="58">
        <f>B8*Scenarios!$E$6</f>
        <v>35000</v>
      </c>
      <c r="E8" s="56" t="s">
        <v>116</v>
      </c>
      <c r="F8" s="39"/>
      <c r="G8" s="39"/>
      <c r="H8" s="39"/>
    </row>
    <row r="9" spans="1:8" x14ac:dyDescent="0.2">
      <c r="A9" s="53" t="s">
        <v>117</v>
      </c>
      <c r="B9" s="59">
        <v>0.7</v>
      </c>
      <c r="C9" s="55" t="s">
        <v>118</v>
      </c>
      <c r="D9" s="60">
        <f>B9</f>
        <v>0.7</v>
      </c>
      <c r="E9" s="39"/>
      <c r="F9" s="39"/>
      <c r="G9" s="39"/>
      <c r="H9" s="39"/>
    </row>
    <row r="10" spans="1:8" x14ac:dyDescent="0.2">
      <c r="A10" s="53" t="s">
        <v>119</v>
      </c>
      <c r="B10" s="59">
        <v>0.1</v>
      </c>
      <c r="C10" s="55" t="s">
        <v>118</v>
      </c>
      <c r="D10" s="60">
        <f>B10</f>
        <v>0.1</v>
      </c>
      <c r="E10" s="39"/>
      <c r="F10" s="39"/>
      <c r="G10" s="39"/>
      <c r="H10" s="39"/>
    </row>
    <row r="11" spans="1:8" x14ac:dyDescent="0.2">
      <c r="A11" s="53" t="s">
        <v>120</v>
      </c>
      <c r="B11" s="59">
        <v>0.05</v>
      </c>
      <c r="C11" s="55" t="s">
        <v>118</v>
      </c>
      <c r="D11" s="60">
        <f>B11</f>
        <v>0.05</v>
      </c>
      <c r="E11" s="39"/>
      <c r="F11" s="39"/>
      <c r="G11" s="39"/>
      <c r="H11" s="39"/>
    </row>
    <row r="12" spans="1:8" x14ac:dyDescent="0.2">
      <c r="A12" s="53" t="s">
        <v>121</v>
      </c>
      <c r="B12" s="59">
        <v>0.15</v>
      </c>
      <c r="C12" s="55" t="s">
        <v>118</v>
      </c>
      <c r="D12" s="60">
        <f>B12</f>
        <v>0.15</v>
      </c>
      <c r="E12" s="39"/>
      <c r="F12" s="39"/>
      <c r="G12" s="39"/>
      <c r="H12" s="39"/>
    </row>
    <row r="13" spans="1:8" x14ac:dyDescent="0.2">
      <c r="A13" s="61" t="s">
        <v>122</v>
      </c>
      <c r="B13" s="62"/>
      <c r="C13" s="63" t="s">
        <v>123</v>
      </c>
      <c r="D13" s="64">
        <f>0.1*$D$9+0.15*$D$10+0.2*$D$11+0.25*$D$12</f>
        <v>0.13250000000000001</v>
      </c>
      <c r="E13" s="62"/>
      <c r="F13" s="62"/>
      <c r="G13" s="62"/>
      <c r="H13" s="62"/>
    </row>
    <row r="14" spans="1:8" x14ac:dyDescent="0.2">
      <c r="A14" s="61" t="s">
        <v>124</v>
      </c>
      <c r="B14" s="62"/>
      <c r="C14" s="63" t="s">
        <v>123</v>
      </c>
      <c r="D14" s="65">
        <f>$D$9+$D$10+$D$11+$D$12</f>
        <v>1</v>
      </c>
      <c r="E14" s="62"/>
      <c r="F14" s="62"/>
      <c r="G14" s="62"/>
      <c r="H14" s="62"/>
    </row>
    <row r="15" spans="1:8" x14ac:dyDescent="0.2">
      <c r="A15" s="39"/>
      <c r="B15" s="39"/>
      <c r="C15" s="39"/>
      <c r="D15" s="39"/>
      <c r="E15" s="39"/>
      <c r="F15" s="39"/>
      <c r="G15" s="39"/>
      <c r="H15" s="39"/>
    </row>
    <row r="16" spans="1:8" ht="18" customHeight="1" x14ac:dyDescent="0.2">
      <c r="A16" s="40" t="s">
        <v>125</v>
      </c>
      <c r="B16" s="40"/>
      <c r="C16" s="40"/>
      <c r="D16" s="40"/>
      <c r="E16" s="40"/>
      <c r="F16" s="40"/>
      <c r="G16" s="40"/>
      <c r="H16" s="40"/>
    </row>
    <row r="17" spans="1:8" x14ac:dyDescent="0.2">
      <c r="A17" s="52" t="s">
        <v>106</v>
      </c>
      <c r="B17" s="52" t="s">
        <v>107</v>
      </c>
      <c r="C17" s="52" t="s">
        <v>108</v>
      </c>
      <c r="D17" s="52" t="s">
        <v>109</v>
      </c>
      <c r="E17" s="52" t="s">
        <v>110</v>
      </c>
      <c r="F17" s="52"/>
      <c r="G17" s="52"/>
      <c r="H17" s="52"/>
    </row>
    <row r="18" spans="1:8" x14ac:dyDescent="0.2">
      <c r="A18" s="53" t="s">
        <v>126</v>
      </c>
      <c r="B18" s="57">
        <v>24000</v>
      </c>
      <c r="C18" s="55" t="s">
        <v>127</v>
      </c>
      <c r="D18" s="66">
        <f>B18</f>
        <v>24000</v>
      </c>
      <c r="E18" s="56" t="s">
        <v>128</v>
      </c>
      <c r="F18" s="39"/>
      <c r="G18" s="39"/>
      <c r="H18" s="39"/>
    </row>
    <row r="19" spans="1:8" ht="26" x14ac:dyDescent="0.2">
      <c r="A19" s="53" t="s">
        <v>129</v>
      </c>
      <c r="B19" s="59">
        <v>0.1</v>
      </c>
      <c r="C19" s="55" t="s">
        <v>123</v>
      </c>
      <c r="D19" s="60">
        <f>B19</f>
        <v>0.1</v>
      </c>
      <c r="E19" s="56" t="s">
        <v>130</v>
      </c>
      <c r="F19" s="39"/>
      <c r="G19" s="39"/>
      <c r="H19" s="39"/>
    </row>
    <row r="20" spans="1:8" x14ac:dyDescent="0.2">
      <c r="A20" s="39"/>
      <c r="B20" s="39"/>
      <c r="C20" s="39"/>
      <c r="D20" s="39"/>
      <c r="E20" s="39"/>
      <c r="F20" s="39"/>
      <c r="G20" s="39"/>
      <c r="H20" s="39"/>
    </row>
    <row r="21" spans="1:8" ht="18" customHeight="1" x14ac:dyDescent="0.2">
      <c r="A21" s="40" t="s">
        <v>131</v>
      </c>
      <c r="B21" s="40"/>
      <c r="C21" s="40"/>
      <c r="D21" s="40"/>
      <c r="E21" s="40"/>
      <c r="F21" s="40"/>
      <c r="G21" s="40"/>
      <c r="H21" s="40"/>
    </row>
    <row r="22" spans="1:8" x14ac:dyDescent="0.2">
      <c r="A22" s="52" t="s">
        <v>106</v>
      </c>
      <c r="B22" s="52" t="s">
        <v>107</v>
      </c>
      <c r="C22" s="52" t="s">
        <v>108</v>
      </c>
      <c r="D22" s="52" t="s">
        <v>109</v>
      </c>
      <c r="E22" s="52" t="s">
        <v>110</v>
      </c>
      <c r="F22" s="52"/>
      <c r="G22" s="52"/>
      <c r="H22" s="52"/>
    </row>
    <row r="23" spans="1:8" x14ac:dyDescent="0.2">
      <c r="A23" s="53" t="s">
        <v>132</v>
      </c>
      <c r="B23" s="57">
        <v>64000</v>
      </c>
      <c r="C23" s="55" t="s">
        <v>127</v>
      </c>
      <c r="D23" s="66">
        <f>B23</f>
        <v>64000</v>
      </c>
      <c r="E23" s="56" t="s">
        <v>128</v>
      </c>
      <c r="F23" s="39"/>
      <c r="G23" s="39"/>
      <c r="H23" s="39"/>
    </row>
    <row r="24" spans="1:8" x14ac:dyDescent="0.2">
      <c r="A24" s="53" t="s">
        <v>133</v>
      </c>
      <c r="B24" s="54">
        <v>15</v>
      </c>
      <c r="C24" s="55" t="s">
        <v>134</v>
      </c>
      <c r="D24" s="48">
        <f>B24*Scenarios!$E$4</f>
        <v>15</v>
      </c>
      <c r="E24" s="39"/>
      <c r="F24" s="39"/>
      <c r="G24" s="39"/>
      <c r="H24" s="39"/>
    </row>
    <row r="25" spans="1:8" x14ac:dyDescent="0.2">
      <c r="A25" s="53" t="s">
        <v>135</v>
      </c>
      <c r="B25" s="59">
        <v>2.5000000000000001E-2</v>
      </c>
      <c r="C25" s="55" t="s">
        <v>136</v>
      </c>
      <c r="D25" s="42">
        <f>MIN(1,B25*Scenarios!$E$7)</f>
        <v>2.5000000000000001E-2</v>
      </c>
      <c r="E25" s="39"/>
      <c r="F25" s="39"/>
      <c r="G25" s="39"/>
      <c r="H25" s="39"/>
    </row>
    <row r="26" spans="1:8" x14ac:dyDescent="0.2">
      <c r="A26" s="39"/>
      <c r="B26" s="39"/>
      <c r="C26" s="39"/>
      <c r="D26" s="39"/>
      <c r="E26" s="39"/>
      <c r="F26" s="39"/>
      <c r="G26" s="39"/>
      <c r="H26" s="39"/>
    </row>
    <row r="27" spans="1:8" ht="18" customHeight="1" x14ac:dyDescent="0.2">
      <c r="A27" s="40" t="s">
        <v>137</v>
      </c>
      <c r="B27" s="40"/>
      <c r="C27" s="40"/>
      <c r="D27" s="40"/>
      <c r="E27" s="40"/>
      <c r="F27" s="40"/>
      <c r="G27" s="40"/>
      <c r="H27" s="40"/>
    </row>
    <row r="28" spans="1:8" x14ac:dyDescent="0.2">
      <c r="A28" s="52" t="s">
        <v>106</v>
      </c>
      <c r="B28" s="52" t="s">
        <v>107</v>
      </c>
      <c r="C28" s="52" t="s">
        <v>108</v>
      </c>
      <c r="D28" s="52" t="s">
        <v>109</v>
      </c>
      <c r="E28" s="52" t="s">
        <v>110</v>
      </c>
      <c r="F28" s="52"/>
      <c r="G28" s="52"/>
      <c r="H28" s="52"/>
    </row>
    <row r="29" spans="1:8" x14ac:dyDescent="0.2">
      <c r="A29" s="53" t="s">
        <v>138</v>
      </c>
      <c r="B29" s="54">
        <v>15</v>
      </c>
      <c r="C29" s="55" t="s">
        <v>139</v>
      </c>
      <c r="D29" s="48">
        <f>B29*Scenarios!$E$4</f>
        <v>15</v>
      </c>
      <c r="E29" s="39"/>
      <c r="F29" s="39"/>
      <c r="G29" s="39"/>
      <c r="H29" s="39"/>
    </row>
    <row r="30" spans="1:8" x14ac:dyDescent="0.2">
      <c r="A30" s="53" t="s">
        <v>140</v>
      </c>
      <c r="B30" s="57">
        <v>15000</v>
      </c>
      <c r="C30" s="55" t="s">
        <v>115</v>
      </c>
      <c r="D30" s="58">
        <f>B30*Scenarios!$E$6</f>
        <v>15000</v>
      </c>
      <c r="E30" s="39"/>
      <c r="F30" s="39"/>
      <c r="G30" s="39"/>
      <c r="H30" s="39"/>
    </row>
    <row r="31" spans="1:8" x14ac:dyDescent="0.2">
      <c r="A31" s="53" t="s">
        <v>141</v>
      </c>
      <c r="B31" s="59">
        <v>0.85</v>
      </c>
      <c r="C31" s="55" t="s">
        <v>118</v>
      </c>
      <c r="D31" s="60">
        <f>B31</f>
        <v>0.85</v>
      </c>
      <c r="E31" s="39"/>
      <c r="F31" s="39"/>
      <c r="G31" s="39"/>
      <c r="H31" s="39"/>
    </row>
    <row r="32" spans="1:8" x14ac:dyDescent="0.2">
      <c r="A32" s="53" t="s">
        <v>142</v>
      </c>
      <c r="B32" s="59">
        <v>0.12</v>
      </c>
      <c r="C32" s="55" t="s">
        <v>118</v>
      </c>
      <c r="D32" s="60">
        <f>B32</f>
        <v>0.12</v>
      </c>
      <c r="E32" s="39"/>
      <c r="F32" s="39"/>
      <c r="G32" s="39"/>
      <c r="H32" s="39"/>
    </row>
    <row r="33" spans="1:8" x14ac:dyDescent="0.2">
      <c r="A33" s="53" t="s">
        <v>143</v>
      </c>
      <c r="B33" s="59">
        <v>0.03</v>
      </c>
      <c r="C33" s="55" t="s">
        <v>118</v>
      </c>
      <c r="D33" s="60">
        <f>B33</f>
        <v>0.03</v>
      </c>
      <c r="E33" s="39"/>
      <c r="F33" s="39"/>
      <c r="G33" s="39"/>
      <c r="H33" s="39"/>
    </row>
    <row r="34" spans="1:8" x14ac:dyDescent="0.2">
      <c r="A34" s="61" t="s">
        <v>144</v>
      </c>
      <c r="B34" s="62"/>
      <c r="C34" s="63" t="s">
        <v>123</v>
      </c>
      <c r="D34" s="64">
        <f>0.3*$D$31+0.2*$D$32+0.15*$D$33</f>
        <v>0.28350000000000003</v>
      </c>
      <c r="E34" s="62"/>
      <c r="F34" s="62"/>
      <c r="G34" s="62"/>
      <c r="H34" s="62"/>
    </row>
    <row r="35" spans="1:8" x14ac:dyDescent="0.2">
      <c r="A35" s="61" t="s">
        <v>124</v>
      </c>
      <c r="B35" s="62"/>
      <c r="C35" s="63" t="s">
        <v>123</v>
      </c>
      <c r="D35" s="65">
        <f>$D$31+$D$32+$D$33</f>
        <v>1</v>
      </c>
      <c r="E35" s="62"/>
      <c r="F35" s="62"/>
      <c r="G35" s="62"/>
      <c r="H35" s="62"/>
    </row>
    <row r="36" spans="1:8" x14ac:dyDescent="0.2">
      <c r="A36" s="39"/>
      <c r="B36" s="39"/>
      <c r="C36" s="39"/>
      <c r="D36" s="39"/>
      <c r="E36" s="39"/>
      <c r="F36" s="39"/>
      <c r="G36" s="39"/>
      <c r="H36" s="39"/>
    </row>
    <row r="37" spans="1:8" ht="18" customHeight="1" x14ac:dyDescent="0.2">
      <c r="A37" s="40" t="s">
        <v>145</v>
      </c>
      <c r="B37" s="40"/>
      <c r="C37" s="40"/>
      <c r="D37" s="40"/>
      <c r="E37" s="40"/>
      <c r="F37" s="40"/>
      <c r="G37" s="40"/>
      <c r="H37" s="40"/>
    </row>
    <row r="38" spans="1:8" x14ac:dyDescent="0.2">
      <c r="A38" s="52" t="s">
        <v>106</v>
      </c>
      <c r="B38" s="52" t="s">
        <v>107</v>
      </c>
      <c r="C38" s="52" t="s">
        <v>108</v>
      </c>
      <c r="D38" s="52" t="s">
        <v>109</v>
      </c>
      <c r="E38" s="52" t="s">
        <v>110</v>
      </c>
      <c r="F38" s="52"/>
      <c r="G38" s="52"/>
      <c r="H38" s="52"/>
    </row>
    <row r="39" spans="1:8" x14ac:dyDescent="0.2">
      <c r="A39" s="53" t="s">
        <v>146</v>
      </c>
      <c r="B39" s="54">
        <v>12</v>
      </c>
      <c r="C39" s="55" t="s">
        <v>139</v>
      </c>
      <c r="D39" s="48">
        <f>B39*Scenarios!$E$4</f>
        <v>12</v>
      </c>
      <c r="E39" s="39"/>
      <c r="F39" s="39"/>
      <c r="G39" s="39"/>
      <c r="H39" s="39"/>
    </row>
    <row r="40" spans="1:8" x14ac:dyDescent="0.2">
      <c r="A40" s="53" t="s">
        <v>147</v>
      </c>
      <c r="B40" s="57">
        <v>10000</v>
      </c>
      <c r="C40" s="55" t="s">
        <v>115</v>
      </c>
      <c r="D40" s="58">
        <f>B40*Scenarios!$E$6</f>
        <v>10000</v>
      </c>
      <c r="E40" s="39"/>
      <c r="F40" s="39"/>
      <c r="G40" s="39"/>
      <c r="H40" s="39"/>
    </row>
    <row r="41" spans="1:8" x14ac:dyDescent="0.2">
      <c r="A41" s="53" t="s">
        <v>148</v>
      </c>
      <c r="B41" s="59">
        <v>0.13</v>
      </c>
      <c r="C41" s="55" t="s">
        <v>123</v>
      </c>
      <c r="D41" s="60">
        <f>B41</f>
        <v>0.13</v>
      </c>
      <c r="E41" s="39"/>
      <c r="F41" s="39"/>
      <c r="G41" s="39"/>
      <c r="H41" s="39"/>
    </row>
    <row r="42" spans="1:8" x14ac:dyDescent="0.2">
      <c r="A42" s="39"/>
      <c r="B42" s="39"/>
      <c r="C42" s="39"/>
      <c r="D42" s="39"/>
      <c r="E42" s="39"/>
      <c r="F42" s="39"/>
      <c r="G42" s="39"/>
      <c r="H42" s="39"/>
    </row>
    <row r="43" spans="1:8" ht="18" customHeight="1" x14ac:dyDescent="0.2">
      <c r="A43" s="40" t="s">
        <v>149</v>
      </c>
      <c r="B43" s="40"/>
      <c r="C43" s="40"/>
      <c r="D43" s="40"/>
      <c r="E43" s="40"/>
      <c r="F43" s="40"/>
      <c r="G43" s="40"/>
      <c r="H43" s="40"/>
    </row>
    <row r="44" spans="1:8" x14ac:dyDescent="0.2">
      <c r="A44" s="52" t="s">
        <v>106</v>
      </c>
      <c r="B44" s="52" t="s">
        <v>107</v>
      </c>
      <c r="C44" s="52" t="s">
        <v>108</v>
      </c>
      <c r="D44" s="52" t="s">
        <v>109</v>
      </c>
      <c r="E44" s="52" t="s">
        <v>110</v>
      </c>
      <c r="F44" s="52"/>
      <c r="G44" s="52"/>
      <c r="H44" s="52"/>
    </row>
    <row r="45" spans="1:8" x14ac:dyDescent="0.2">
      <c r="A45" s="53" t="s">
        <v>150</v>
      </c>
      <c r="B45" s="59">
        <v>0.08</v>
      </c>
      <c r="C45" s="55" t="s">
        <v>151</v>
      </c>
      <c r="D45" s="60">
        <f>B45</f>
        <v>0.08</v>
      </c>
      <c r="E45" s="56" t="s">
        <v>152</v>
      </c>
      <c r="F45" s="39"/>
      <c r="G45" s="39"/>
      <c r="H45" s="39"/>
    </row>
    <row r="46" spans="1:8" x14ac:dyDescent="0.2">
      <c r="A46" s="53" t="s">
        <v>153</v>
      </c>
      <c r="B46" s="59">
        <v>0.08</v>
      </c>
      <c r="C46" s="55" t="s">
        <v>151</v>
      </c>
      <c r="D46" s="60">
        <f>B46</f>
        <v>0.08</v>
      </c>
      <c r="E46" s="39"/>
      <c r="F46" s="39"/>
      <c r="G46" s="39"/>
      <c r="H46" s="39"/>
    </row>
    <row r="47" spans="1:8" x14ac:dyDescent="0.2">
      <c r="A47" s="53" t="s">
        <v>154</v>
      </c>
      <c r="B47" s="59">
        <v>0.08</v>
      </c>
      <c r="C47" s="55" t="s">
        <v>151</v>
      </c>
      <c r="D47" s="60">
        <f>B47</f>
        <v>0.08</v>
      </c>
      <c r="E47" s="39"/>
      <c r="F47" s="39"/>
      <c r="G47" s="39"/>
      <c r="H47" s="39"/>
    </row>
    <row r="48" spans="1:8" x14ac:dyDescent="0.2">
      <c r="A48" s="39"/>
      <c r="B48" s="39"/>
      <c r="C48" s="39"/>
      <c r="D48" s="39"/>
      <c r="E48" s="39"/>
      <c r="F48" s="39"/>
      <c r="G48" s="39"/>
      <c r="H48" s="39"/>
    </row>
    <row r="49" spans="1:8" ht="18" customHeight="1" x14ac:dyDescent="0.2">
      <c r="A49" s="40" t="s">
        <v>155</v>
      </c>
      <c r="B49" s="40"/>
      <c r="C49" s="40"/>
      <c r="D49" s="40"/>
      <c r="E49" s="40"/>
      <c r="F49" s="40"/>
      <c r="G49" s="40"/>
      <c r="H49" s="40"/>
    </row>
    <row r="50" spans="1:8" x14ac:dyDescent="0.2">
      <c r="A50" s="52" t="s">
        <v>156</v>
      </c>
      <c r="B50" s="52" t="s">
        <v>157</v>
      </c>
      <c r="C50" s="52" t="s">
        <v>158</v>
      </c>
      <c r="D50" s="52" t="s">
        <v>159</v>
      </c>
      <c r="E50" s="52" t="s">
        <v>110</v>
      </c>
      <c r="F50" s="52" t="s">
        <v>160</v>
      </c>
      <c r="G50" s="52" t="s">
        <v>161</v>
      </c>
      <c r="H50" s="52" t="s">
        <v>162</v>
      </c>
    </row>
    <row r="51" spans="1:8" x14ac:dyDescent="0.2">
      <c r="A51" s="53" t="s">
        <v>163</v>
      </c>
      <c r="B51" s="59">
        <v>0.05</v>
      </c>
      <c r="C51" s="59">
        <v>0.04</v>
      </c>
      <c r="D51" s="59">
        <v>0.03</v>
      </c>
      <c r="E51" s="56" t="s">
        <v>164</v>
      </c>
      <c r="F51" s="67">
        <f>B51*Scenarios!$E$5</f>
        <v>0.05</v>
      </c>
      <c r="G51" s="67">
        <f>C51*Scenarios!$E$5</f>
        <v>0.04</v>
      </c>
      <c r="H51" s="67">
        <f>D51*Scenarios!$E$5</f>
        <v>0.03</v>
      </c>
    </row>
    <row r="52" spans="1:8" ht="26" x14ac:dyDescent="0.2">
      <c r="A52" s="53" t="s">
        <v>165</v>
      </c>
      <c r="B52" s="59">
        <v>0.02</v>
      </c>
      <c r="C52" s="59">
        <v>2.5000000000000001E-2</v>
      </c>
      <c r="D52" s="59">
        <v>0.02</v>
      </c>
      <c r="E52" s="56" t="s">
        <v>166</v>
      </c>
      <c r="F52" s="67">
        <f>B52*Scenarios!$E$5</f>
        <v>0.02</v>
      </c>
      <c r="G52" s="67">
        <f>C52*Scenarios!$E$5</f>
        <v>2.5000000000000001E-2</v>
      </c>
      <c r="H52" s="67">
        <f>D52*Scenarios!$E$5</f>
        <v>0.02</v>
      </c>
    </row>
    <row r="53" spans="1:8" x14ac:dyDescent="0.2">
      <c r="A53" s="53" t="s">
        <v>167</v>
      </c>
      <c r="B53" s="59">
        <v>1.7999999999999999E-2</v>
      </c>
      <c r="C53" s="59">
        <v>2.5000000000000001E-2</v>
      </c>
      <c r="D53" s="59">
        <v>0.02</v>
      </c>
      <c r="E53" s="56" t="s">
        <v>168</v>
      </c>
      <c r="F53" s="67">
        <f>B53*Scenarios!$E$5</f>
        <v>1.7999999999999999E-2</v>
      </c>
      <c r="G53" s="67">
        <f>C53*Scenarios!$E$5</f>
        <v>2.5000000000000001E-2</v>
      </c>
      <c r="H53" s="67">
        <f>D53*Scenarios!$E$5</f>
        <v>0.02</v>
      </c>
    </row>
    <row r="54" spans="1:8" x14ac:dyDescent="0.2">
      <c r="A54" s="53" t="s">
        <v>169</v>
      </c>
      <c r="B54" s="59">
        <v>1.4999999999999999E-2</v>
      </c>
      <c r="C54" s="59">
        <v>1.2E-2</v>
      </c>
      <c r="D54" s="59">
        <v>0.01</v>
      </c>
      <c r="E54" s="56" t="s">
        <v>170</v>
      </c>
      <c r="F54" s="67">
        <f>B54*Scenarios!$E$5</f>
        <v>1.4999999999999999E-2</v>
      </c>
      <c r="G54" s="67">
        <f>C54*Scenarios!$E$5</f>
        <v>1.2E-2</v>
      </c>
      <c r="H54" s="67">
        <f>D54*Scenarios!$E$5</f>
        <v>0.01</v>
      </c>
    </row>
    <row r="55" spans="1:8" x14ac:dyDescent="0.2">
      <c r="A55" s="39"/>
      <c r="B55" s="39"/>
      <c r="C55" s="39"/>
      <c r="D55" s="39"/>
      <c r="E55" s="39"/>
      <c r="F55" s="39"/>
      <c r="G55" s="39"/>
      <c r="H55" s="39"/>
    </row>
    <row r="56" spans="1:8" ht="18" customHeight="1" x14ac:dyDescent="0.2">
      <c r="A56" s="40" t="s">
        <v>171</v>
      </c>
      <c r="B56" s="40"/>
      <c r="C56" s="40"/>
      <c r="D56" s="40"/>
      <c r="E56" s="40"/>
      <c r="F56" s="40"/>
      <c r="G56" s="40"/>
      <c r="H56" s="40"/>
    </row>
    <row r="57" spans="1:8" x14ac:dyDescent="0.2">
      <c r="A57" s="52" t="s">
        <v>106</v>
      </c>
      <c r="B57" s="52" t="s">
        <v>107</v>
      </c>
      <c r="C57" s="52" t="s">
        <v>108</v>
      </c>
      <c r="D57" s="52" t="s">
        <v>109</v>
      </c>
      <c r="E57" s="52" t="s">
        <v>110</v>
      </c>
      <c r="F57" s="52"/>
      <c r="G57" s="52"/>
      <c r="H57" s="52"/>
    </row>
    <row r="58" spans="1:8" x14ac:dyDescent="0.2">
      <c r="A58" s="53" t="s">
        <v>172</v>
      </c>
      <c r="B58" s="59">
        <v>0.02</v>
      </c>
      <c r="C58" s="55" t="s">
        <v>136</v>
      </c>
      <c r="D58" s="42">
        <f>B58*Scenarios!$E$5</f>
        <v>0.02</v>
      </c>
      <c r="E58" s="56" t="s">
        <v>173</v>
      </c>
      <c r="F58" s="39"/>
      <c r="G58" s="39"/>
      <c r="H58" s="39"/>
    </row>
    <row r="59" spans="1:8" x14ac:dyDescent="0.2">
      <c r="A59" s="53" t="s">
        <v>174</v>
      </c>
      <c r="B59" s="59">
        <v>1.7999999999999999E-2</v>
      </c>
      <c r="C59" s="55" t="s">
        <v>136</v>
      </c>
      <c r="D59" s="42">
        <f>B59*Scenarios!$E$5</f>
        <v>1.7999999999999999E-2</v>
      </c>
      <c r="E59" s="39"/>
      <c r="F59" s="39"/>
      <c r="G59" s="39"/>
      <c r="H59" s="39"/>
    </row>
    <row r="60" spans="1:8" x14ac:dyDescent="0.2">
      <c r="A60" s="39"/>
      <c r="B60" s="39"/>
      <c r="C60" s="39"/>
      <c r="D60" s="39"/>
      <c r="E60" s="39"/>
      <c r="F60" s="39"/>
      <c r="G60" s="39"/>
      <c r="H60" s="39"/>
    </row>
    <row r="61" spans="1:8" ht="18" customHeight="1" x14ac:dyDescent="0.2">
      <c r="A61" s="40" t="s">
        <v>175</v>
      </c>
      <c r="B61" s="40"/>
      <c r="C61" s="40"/>
      <c r="D61" s="40"/>
      <c r="E61" s="40"/>
      <c r="F61" s="40"/>
      <c r="G61" s="40"/>
      <c r="H61" s="40"/>
    </row>
    <row r="62" spans="1:8" x14ac:dyDescent="0.2">
      <c r="A62" s="52" t="s">
        <v>106</v>
      </c>
      <c r="B62" s="52" t="s">
        <v>107</v>
      </c>
      <c r="C62" s="52" t="s">
        <v>108</v>
      </c>
      <c r="D62" s="52" t="s">
        <v>109</v>
      </c>
      <c r="E62" s="52" t="s">
        <v>110</v>
      </c>
      <c r="F62" s="52"/>
      <c r="G62" s="52"/>
      <c r="H62" s="52"/>
    </row>
    <row r="63" spans="1:8" x14ac:dyDescent="0.2">
      <c r="A63" s="53" t="s">
        <v>176</v>
      </c>
      <c r="B63" s="57">
        <v>400000</v>
      </c>
      <c r="C63" s="55" t="s">
        <v>127</v>
      </c>
      <c r="D63" s="66">
        <f t="shared" ref="D63:D76" si="0">B63</f>
        <v>400000</v>
      </c>
      <c r="E63" s="56" t="s">
        <v>177</v>
      </c>
      <c r="F63" s="39"/>
      <c r="G63" s="39"/>
      <c r="H63" s="39"/>
    </row>
    <row r="64" spans="1:8" x14ac:dyDescent="0.2">
      <c r="A64" s="53" t="s">
        <v>178</v>
      </c>
      <c r="B64" s="57">
        <v>500000</v>
      </c>
      <c r="C64" s="55" t="s">
        <v>127</v>
      </c>
      <c r="D64" s="66">
        <f t="shared" si="0"/>
        <v>500000</v>
      </c>
      <c r="E64" s="39"/>
      <c r="F64" s="39"/>
      <c r="G64" s="39"/>
      <c r="H64" s="39"/>
    </row>
    <row r="65" spans="1:8" x14ac:dyDescent="0.2">
      <c r="A65" s="53" t="s">
        <v>179</v>
      </c>
      <c r="B65" s="57">
        <v>600000</v>
      </c>
      <c r="C65" s="55" t="s">
        <v>127</v>
      </c>
      <c r="D65" s="66">
        <f t="shared" si="0"/>
        <v>600000</v>
      </c>
      <c r="E65" s="39"/>
      <c r="F65" s="39"/>
      <c r="G65" s="39"/>
      <c r="H65" s="39"/>
    </row>
    <row r="66" spans="1:8" x14ac:dyDescent="0.2">
      <c r="A66" s="53" t="s">
        <v>180</v>
      </c>
      <c r="B66" s="57">
        <v>400000</v>
      </c>
      <c r="C66" s="55" t="s">
        <v>127</v>
      </c>
      <c r="D66" s="66">
        <f t="shared" si="0"/>
        <v>400000</v>
      </c>
      <c r="E66" s="39"/>
      <c r="F66" s="39"/>
      <c r="G66" s="39"/>
      <c r="H66" s="39"/>
    </row>
    <row r="67" spans="1:8" ht="26" x14ac:dyDescent="0.2">
      <c r="A67" s="53" t="s">
        <v>181</v>
      </c>
      <c r="B67" s="68">
        <v>0.5</v>
      </c>
      <c r="C67" s="55" t="s">
        <v>182</v>
      </c>
      <c r="D67" s="69">
        <f t="shared" si="0"/>
        <v>0.5</v>
      </c>
      <c r="E67" s="56" t="s">
        <v>183</v>
      </c>
      <c r="F67" s="39"/>
      <c r="G67" s="39"/>
      <c r="H67" s="39"/>
    </row>
    <row r="68" spans="1:8" x14ac:dyDescent="0.2">
      <c r="A68" s="53" t="s">
        <v>184</v>
      </c>
      <c r="B68" s="68">
        <v>0.5</v>
      </c>
      <c r="C68" s="55" t="s">
        <v>182</v>
      </c>
      <c r="D68" s="69">
        <f t="shared" si="0"/>
        <v>0.5</v>
      </c>
      <c r="E68" s="39"/>
      <c r="F68" s="39"/>
      <c r="G68" s="39"/>
      <c r="H68" s="39"/>
    </row>
    <row r="69" spans="1:8" x14ac:dyDescent="0.2">
      <c r="A69" s="53" t="s">
        <v>185</v>
      </c>
      <c r="B69" s="68">
        <v>1.5</v>
      </c>
      <c r="C69" s="55" t="s">
        <v>182</v>
      </c>
      <c r="D69" s="69">
        <f t="shared" si="0"/>
        <v>1.5</v>
      </c>
      <c r="E69" s="39"/>
      <c r="F69" s="39"/>
      <c r="G69" s="39"/>
      <c r="H69" s="39"/>
    </row>
    <row r="70" spans="1:8" x14ac:dyDescent="0.2">
      <c r="A70" s="53" t="s">
        <v>186</v>
      </c>
      <c r="B70" s="59">
        <v>0.8</v>
      </c>
      <c r="C70" s="55" t="s">
        <v>123</v>
      </c>
      <c r="D70" s="60">
        <f t="shared" si="0"/>
        <v>0.8</v>
      </c>
      <c r="E70" s="39"/>
      <c r="F70" s="39"/>
      <c r="G70" s="39"/>
      <c r="H70" s="39"/>
    </row>
    <row r="71" spans="1:8" x14ac:dyDescent="0.2">
      <c r="A71" s="53" t="s">
        <v>187</v>
      </c>
      <c r="B71" s="59">
        <v>0.3</v>
      </c>
      <c r="C71" s="55" t="s">
        <v>123</v>
      </c>
      <c r="D71" s="60">
        <f t="shared" si="0"/>
        <v>0.3</v>
      </c>
      <c r="E71" s="39"/>
      <c r="F71" s="39"/>
      <c r="G71" s="39"/>
      <c r="H71" s="39"/>
    </row>
    <row r="72" spans="1:8" x14ac:dyDescent="0.2">
      <c r="A72" s="53" t="s">
        <v>188</v>
      </c>
      <c r="B72" s="59">
        <v>0.15</v>
      </c>
      <c r="C72" s="55" t="s">
        <v>123</v>
      </c>
      <c r="D72" s="60">
        <f t="shared" si="0"/>
        <v>0.15</v>
      </c>
      <c r="E72" s="56" t="s">
        <v>189</v>
      </c>
      <c r="F72" s="39"/>
      <c r="G72" s="39"/>
      <c r="H72" s="39"/>
    </row>
    <row r="73" spans="1:8" x14ac:dyDescent="0.2">
      <c r="A73" s="53" t="s">
        <v>190</v>
      </c>
      <c r="B73" s="68">
        <v>1</v>
      </c>
      <c r="C73" s="55" t="s">
        <v>191</v>
      </c>
      <c r="D73" s="69">
        <f t="shared" si="0"/>
        <v>1</v>
      </c>
      <c r="E73" s="39"/>
      <c r="F73" s="39"/>
      <c r="G73" s="39"/>
      <c r="H73" s="39"/>
    </row>
    <row r="74" spans="1:8" x14ac:dyDescent="0.2">
      <c r="A74" s="53" t="s">
        <v>192</v>
      </c>
      <c r="B74" s="70">
        <v>2</v>
      </c>
      <c r="C74" s="55" t="s">
        <v>193</v>
      </c>
      <c r="D74" s="71">
        <f t="shared" si="0"/>
        <v>2</v>
      </c>
      <c r="E74" s="56" t="s">
        <v>194</v>
      </c>
      <c r="F74" s="39"/>
      <c r="G74" s="39"/>
      <c r="H74" s="39"/>
    </row>
    <row r="75" spans="1:8" x14ac:dyDescent="0.2">
      <c r="A75" s="53" t="s">
        <v>195</v>
      </c>
      <c r="B75" s="59">
        <v>0.7</v>
      </c>
      <c r="C75" s="55" t="s">
        <v>123</v>
      </c>
      <c r="D75" s="60">
        <f t="shared" si="0"/>
        <v>0.7</v>
      </c>
      <c r="E75" s="39"/>
      <c r="F75" s="39"/>
      <c r="G75" s="39"/>
      <c r="H75" s="39"/>
    </row>
    <row r="76" spans="1:8" x14ac:dyDescent="0.2">
      <c r="A76" s="53" t="s">
        <v>196</v>
      </c>
      <c r="B76" s="59">
        <v>0.3</v>
      </c>
      <c r="C76" s="55" t="s">
        <v>123</v>
      </c>
      <c r="D76" s="60">
        <f t="shared" si="0"/>
        <v>0.3</v>
      </c>
      <c r="E76" s="56" t="s">
        <v>197</v>
      </c>
      <c r="F76" s="39"/>
      <c r="G76" s="39"/>
      <c r="H76" s="39"/>
    </row>
    <row r="77" spans="1:8" x14ac:dyDescent="0.2">
      <c r="A77" s="61" t="s">
        <v>198</v>
      </c>
      <c r="B77" s="62"/>
      <c r="C77" s="63" t="s">
        <v>123</v>
      </c>
      <c r="D77" s="65">
        <f>$D$75+$D$76</f>
        <v>1</v>
      </c>
      <c r="E77" s="62"/>
      <c r="F77" s="62"/>
      <c r="G77" s="62"/>
      <c r="H77" s="62"/>
    </row>
    <row r="78" spans="1:8" x14ac:dyDescent="0.2">
      <c r="A78" s="39"/>
      <c r="B78" s="39"/>
      <c r="C78" s="39"/>
      <c r="D78" s="39"/>
      <c r="E78" s="39"/>
      <c r="F78" s="39"/>
      <c r="G78" s="39"/>
      <c r="H78" s="39"/>
    </row>
    <row r="79" spans="1:8" ht="18" customHeight="1" x14ac:dyDescent="0.2">
      <c r="A79" s="40" t="s">
        <v>199</v>
      </c>
      <c r="B79" s="40"/>
      <c r="C79" s="40"/>
      <c r="D79" s="40"/>
      <c r="E79" s="40"/>
      <c r="F79" s="40"/>
      <c r="G79" s="40"/>
      <c r="H79" s="40"/>
    </row>
    <row r="80" spans="1:8" x14ac:dyDescent="0.2">
      <c r="A80" s="52" t="s">
        <v>106</v>
      </c>
      <c r="B80" s="52" t="s">
        <v>107</v>
      </c>
      <c r="C80" s="52" t="s">
        <v>108</v>
      </c>
      <c r="D80" s="52" t="s">
        <v>109</v>
      </c>
      <c r="E80" s="52" t="s">
        <v>110</v>
      </c>
      <c r="F80" s="52"/>
      <c r="G80" s="52"/>
      <c r="H80" s="52"/>
    </row>
    <row r="81" spans="1:8" x14ac:dyDescent="0.2">
      <c r="A81" s="53" t="s">
        <v>200</v>
      </c>
      <c r="B81" s="54">
        <v>25</v>
      </c>
      <c r="C81" s="55" t="s">
        <v>201</v>
      </c>
      <c r="D81" s="48">
        <f>B81*Scenarios!$E$4</f>
        <v>25</v>
      </c>
      <c r="E81" s="39"/>
      <c r="F81" s="39"/>
      <c r="G81" s="39"/>
      <c r="H81" s="39"/>
    </row>
    <row r="82" spans="1:8" x14ac:dyDescent="0.2">
      <c r="A82" s="53" t="s">
        <v>202</v>
      </c>
      <c r="B82" s="72">
        <v>3</v>
      </c>
      <c r="C82" s="55" t="s">
        <v>203</v>
      </c>
      <c r="D82" s="45">
        <f>B82*Scenarios!$E$5</f>
        <v>3</v>
      </c>
      <c r="E82" s="56" t="s">
        <v>204</v>
      </c>
      <c r="F82" s="39"/>
      <c r="G82" s="39"/>
      <c r="H82" s="39"/>
    </row>
    <row r="83" spans="1:8" x14ac:dyDescent="0.2">
      <c r="A83" s="53" t="s">
        <v>205</v>
      </c>
      <c r="B83" s="72">
        <v>8</v>
      </c>
      <c r="C83" s="55" t="s">
        <v>203</v>
      </c>
      <c r="D83" s="45">
        <f>B83*Scenarios!$E$5</f>
        <v>8</v>
      </c>
      <c r="E83" s="56" t="s">
        <v>206</v>
      </c>
      <c r="F83" s="39"/>
      <c r="G83" s="39"/>
      <c r="H83" s="39"/>
    </row>
    <row r="84" spans="1:8" x14ac:dyDescent="0.2">
      <c r="A84" s="53" t="s">
        <v>207</v>
      </c>
      <c r="B84" s="59">
        <v>0.03</v>
      </c>
      <c r="C84" s="55" t="s">
        <v>136</v>
      </c>
      <c r="D84" s="42">
        <f>MIN(1,B84*Scenarios!$E$7)</f>
        <v>0.03</v>
      </c>
      <c r="E84" s="39"/>
      <c r="F84" s="39"/>
      <c r="G84" s="39"/>
      <c r="H84" s="39"/>
    </row>
    <row r="85" spans="1:8" x14ac:dyDescent="0.2">
      <c r="A85" s="53" t="s">
        <v>208</v>
      </c>
      <c r="B85" s="54">
        <v>8</v>
      </c>
      <c r="C85" s="55" t="s">
        <v>209</v>
      </c>
      <c r="D85" s="73">
        <f>B85</f>
        <v>8</v>
      </c>
      <c r="E85" s="39"/>
      <c r="F85" s="39"/>
      <c r="G85" s="39"/>
      <c r="H85" s="39"/>
    </row>
    <row r="86" spans="1:8" x14ac:dyDescent="0.2">
      <c r="A86" s="53" t="s">
        <v>210</v>
      </c>
      <c r="B86" s="74">
        <v>8</v>
      </c>
      <c r="C86" s="55" t="s">
        <v>211</v>
      </c>
      <c r="D86" s="48">
        <f>B86*Scenarios!$E$4</f>
        <v>8</v>
      </c>
      <c r="E86" s="39"/>
      <c r="F86" s="39"/>
      <c r="G86" s="39"/>
      <c r="H86" s="39"/>
    </row>
    <row r="87" spans="1:8" x14ac:dyDescent="0.2">
      <c r="A87" s="53" t="s">
        <v>212</v>
      </c>
      <c r="B87" s="72">
        <v>1</v>
      </c>
      <c r="C87" s="55" t="s">
        <v>213</v>
      </c>
      <c r="D87" s="45">
        <f>B87*Scenarios!$E$5</f>
        <v>1</v>
      </c>
      <c r="E87" s="39"/>
      <c r="F87" s="39"/>
      <c r="G87" s="39"/>
      <c r="H87" s="39"/>
    </row>
    <row r="88" spans="1:8" x14ac:dyDescent="0.2">
      <c r="A88" s="53" t="s">
        <v>214</v>
      </c>
      <c r="B88" s="72">
        <v>2</v>
      </c>
      <c r="C88" s="55" t="s">
        <v>213</v>
      </c>
      <c r="D88" s="45">
        <f>B88*Scenarios!$E$5</f>
        <v>2</v>
      </c>
      <c r="E88" s="39"/>
      <c r="F88" s="39"/>
      <c r="G88" s="39"/>
      <c r="H88" s="39"/>
    </row>
    <row r="89" spans="1:8" x14ac:dyDescent="0.2">
      <c r="A89" s="53" t="s">
        <v>215</v>
      </c>
      <c r="B89" s="59">
        <v>0.02</v>
      </c>
      <c r="C89" s="55" t="s">
        <v>136</v>
      </c>
      <c r="D89" s="42">
        <f>MIN(1,B89*Scenarios!$E$7)</f>
        <v>0.02</v>
      </c>
      <c r="E89" s="39"/>
      <c r="F89" s="39"/>
      <c r="G89" s="39"/>
      <c r="H89" s="39"/>
    </row>
    <row r="90" spans="1:8" x14ac:dyDescent="0.2">
      <c r="A90" s="53" t="s">
        <v>216</v>
      </c>
      <c r="B90" s="54">
        <v>4</v>
      </c>
      <c r="C90" s="55" t="s">
        <v>217</v>
      </c>
      <c r="D90" s="73">
        <f>B90</f>
        <v>4</v>
      </c>
      <c r="E90" s="39"/>
      <c r="F90" s="39"/>
      <c r="G90" s="39"/>
      <c r="H90" s="39"/>
    </row>
    <row r="91" spans="1:8" x14ac:dyDescent="0.2">
      <c r="A91" s="53" t="s">
        <v>218</v>
      </c>
      <c r="B91" s="54">
        <v>15</v>
      </c>
      <c r="C91" s="55" t="s">
        <v>219</v>
      </c>
      <c r="D91" s="48">
        <f>B91*Scenarios!$E$4</f>
        <v>15</v>
      </c>
      <c r="E91" s="39"/>
      <c r="F91" s="39"/>
      <c r="G91" s="39"/>
      <c r="H91" s="39"/>
    </row>
    <row r="92" spans="1:8" x14ac:dyDescent="0.2">
      <c r="A92" s="53" t="s">
        <v>220</v>
      </c>
      <c r="B92" s="72">
        <v>2</v>
      </c>
      <c r="C92" s="55" t="s">
        <v>221</v>
      </c>
      <c r="D92" s="45">
        <f>B92*Scenarios!$E$5</f>
        <v>2</v>
      </c>
      <c r="E92" s="56" t="s">
        <v>222</v>
      </c>
      <c r="F92" s="39"/>
      <c r="G92" s="39"/>
      <c r="H92" s="39"/>
    </row>
    <row r="93" spans="1:8" x14ac:dyDescent="0.2">
      <c r="A93" s="53" t="s">
        <v>223</v>
      </c>
      <c r="B93" s="59">
        <v>0.05</v>
      </c>
      <c r="C93" s="55" t="s">
        <v>136</v>
      </c>
      <c r="D93" s="42">
        <f>MIN(1,B93*Scenarios!$E$7)</f>
        <v>0.05</v>
      </c>
      <c r="E93" s="39"/>
      <c r="F93" s="39"/>
      <c r="G93" s="39"/>
      <c r="H93" s="39"/>
    </row>
    <row r="94" spans="1:8" x14ac:dyDescent="0.2">
      <c r="A94" s="53" t="s">
        <v>224</v>
      </c>
      <c r="B94" s="54">
        <v>1</v>
      </c>
      <c r="C94" s="55" t="s">
        <v>217</v>
      </c>
      <c r="D94" s="73">
        <f>B94</f>
        <v>1</v>
      </c>
      <c r="E94" s="39"/>
      <c r="F94" s="39"/>
      <c r="G94" s="39"/>
      <c r="H94" s="39"/>
    </row>
    <row r="95" spans="1:8" ht="26" x14ac:dyDescent="0.2">
      <c r="A95" s="53" t="s">
        <v>225</v>
      </c>
      <c r="B95" s="59">
        <v>0.8</v>
      </c>
      <c r="C95" s="55" t="s">
        <v>123</v>
      </c>
      <c r="D95" s="60">
        <f>B95</f>
        <v>0.8</v>
      </c>
      <c r="E95" s="56" t="s">
        <v>226</v>
      </c>
      <c r="F95" s="39"/>
      <c r="G95" s="39"/>
      <c r="H95" s="39"/>
    </row>
    <row r="96" spans="1:8" x14ac:dyDescent="0.2">
      <c r="A96" s="39"/>
      <c r="B96" s="39"/>
      <c r="C96" s="39"/>
      <c r="D96" s="39"/>
      <c r="E96" s="39"/>
      <c r="F96" s="39"/>
      <c r="G96" s="39"/>
      <c r="H96" s="39"/>
    </row>
    <row r="97" spans="1:8" ht="18" customHeight="1" x14ac:dyDescent="0.2">
      <c r="A97" s="40" t="s">
        <v>227</v>
      </c>
      <c r="B97" s="40"/>
      <c r="C97" s="40"/>
      <c r="D97" s="40"/>
      <c r="E97" s="40"/>
      <c r="F97" s="40"/>
      <c r="G97" s="40"/>
      <c r="H97" s="40"/>
    </row>
    <row r="98" spans="1:8" x14ac:dyDescent="0.2">
      <c r="A98" s="52" t="s">
        <v>106</v>
      </c>
      <c r="B98" s="52" t="s">
        <v>107</v>
      </c>
      <c r="C98" s="52" t="s">
        <v>108</v>
      </c>
      <c r="D98" s="52" t="s">
        <v>109</v>
      </c>
      <c r="E98" s="52" t="s">
        <v>110</v>
      </c>
      <c r="F98" s="52"/>
      <c r="G98" s="52"/>
      <c r="H98" s="52"/>
    </row>
    <row r="99" spans="1:8" x14ac:dyDescent="0.2">
      <c r="A99" s="53" t="s">
        <v>228</v>
      </c>
      <c r="B99" s="70">
        <v>6</v>
      </c>
      <c r="C99" s="55" t="s">
        <v>193</v>
      </c>
      <c r="D99" s="71">
        <f>B99</f>
        <v>6</v>
      </c>
      <c r="E99" s="39"/>
      <c r="F99" s="39"/>
      <c r="G99" s="39"/>
      <c r="H99" s="39"/>
    </row>
    <row r="100" spans="1:8" ht="26" x14ac:dyDescent="0.2">
      <c r="A100" s="53" t="s">
        <v>229</v>
      </c>
      <c r="B100" s="75">
        <v>0.02</v>
      </c>
      <c r="C100" s="55" t="s">
        <v>230</v>
      </c>
      <c r="D100" s="76">
        <f>B100</f>
        <v>0.02</v>
      </c>
      <c r="E100" s="56" t="s">
        <v>231</v>
      </c>
      <c r="F100" s="39"/>
      <c r="G100" s="39"/>
      <c r="H100" s="39"/>
    </row>
    <row r="101" spans="1:8" x14ac:dyDescent="0.2">
      <c r="A101" s="39"/>
      <c r="B101" s="39"/>
      <c r="C101" s="39"/>
      <c r="D101" s="39"/>
      <c r="E101" s="39"/>
      <c r="F101" s="39"/>
      <c r="G101" s="39"/>
      <c r="H101" s="39"/>
    </row>
    <row r="102" spans="1:8" ht="18" customHeight="1" x14ac:dyDescent="0.2">
      <c r="A102" s="40" t="s">
        <v>232</v>
      </c>
      <c r="B102" s="40"/>
      <c r="C102" s="40"/>
      <c r="D102" s="40"/>
      <c r="E102" s="40"/>
      <c r="F102" s="40"/>
      <c r="G102" s="40"/>
      <c r="H102" s="40"/>
    </row>
    <row r="103" spans="1:8" x14ac:dyDescent="0.2">
      <c r="A103" s="52" t="s">
        <v>106</v>
      </c>
      <c r="B103" s="52" t="s">
        <v>107</v>
      </c>
      <c r="C103" s="52" t="s">
        <v>108</v>
      </c>
      <c r="D103" s="52" t="s">
        <v>109</v>
      </c>
      <c r="E103" s="52" t="s">
        <v>110</v>
      </c>
      <c r="F103" s="52"/>
      <c r="G103" s="52"/>
      <c r="H103" s="52"/>
    </row>
    <row r="104" spans="1:8" x14ac:dyDescent="0.2">
      <c r="A104" s="53" t="s">
        <v>233</v>
      </c>
      <c r="B104" s="77">
        <v>71.42</v>
      </c>
      <c r="C104" s="55" t="s">
        <v>234</v>
      </c>
      <c r="D104" s="78">
        <f>B104</f>
        <v>71.42</v>
      </c>
      <c r="E104" s="39"/>
      <c r="F104" s="39"/>
      <c r="G104" s="39"/>
      <c r="H104" s="39"/>
    </row>
    <row r="105" spans="1:8" ht="26" x14ac:dyDescent="0.2">
      <c r="A105" s="53" t="s">
        <v>235</v>
      </c>
      <c r="B105" s="59">
        <v>0.03</v>
      </c>
      <c r="C105" s="55" t="s">
        <v>123</v>
      </c>
      <c r="D105" s="60">
        <f>B105</f>
        <v>0.03</v>
      </c>
      <c r="E105" s="56" t="s">
        <v>236</v>
      </c>
      <c r="F105" s="39"/>
      <c r="G105" s="39"/>
      <c r="H105" s="39"/>
    </row>
    <row r="106" spans="1:8" x14ac:dyDescent="0.2">
      <c r="A106" s="53" t="s">
        <v>237</v>
      </c>
      <c r="B106" s="57">
        <v>1000</v>
      </c>
      <c r="C106" s="55" t="s">
        <v>234</v>
      </c>
      <c r="D106" s="58">
        <f>B106*Scenarios!$E$8*(1+IF($B$158=1,$B$161,0))</f>
        <v>1000</v>
      </c>
      <c r="E106" s="39"/>
      <c r="F106" s="39"/>
      <c r="G106" s="39"/>
      <c r="H106" s="39"/>
    </row>
    <row r="107" spans="1:8" x14ac:dyDescent="0.2">
      <c r="A107" s="53" t="s">
        <v>238</v>
      </c>
      <c r="B107" s="57">
        <v>3000</v>
      </c>
      <c r="C107" s="55" t="s">
        <v>239</v>
      </c>
      <c r="D107" s="58">
        <f>B107*Scenarios!$E$8*(1+IF($B$158=1,$B$161,0))</f>
        <v>3000</v>
      </c>
      <c r="E107" s="39"/>
      <c r="F107" s="39"/>
      <c r="G107" s="39"/>
      <c r="H107" s="39"/>
    </row>
    <row r="108" spans="1:8" x14ac:dyDescent="0.2">
      <c r="A108" s="53" t="s">
        <v>240</v>
      </c>
      <c r="B108" s="59">
        <v>0.01</v>
      </c>
      <c r="C108" s="55" t="s">
        <v>241</v>
      </c>
      <c r="D108" s="42">
        <f>B108*Scenarios!$E$8*(1+IF($B$158=1,$B$161,0))</f>
        <v>0.01</v>
      </c>
      <c r="E108" s="39"/>
      <c r="F108" s="39"/>
      <c r="G108" s="39"/>
      <c r="H108" s="39"/>
    </row>
    <row r="109" spans="1:8" x14ac:dyDescent="0.2">
      <c r="A109" s="39"/>
      <c r="B109" s="39"/>
      <c r="C109" s="39"/>
      <c r="D109" s="39"/>
      <c r="E109" s="39"/>
      <c r="F109" s="39"/>
      <c r="G109" s="39"/>
      <c r="H109" s="39"/>
    </row>
    <row r="110" spans="1:8" ht="18" customHeight="1" x14ac:dyDescent="0.2">
      <c r="A110" s="40" t="s">
        <v>242</v>
      </c>
      <c r="B110" s="40"/>
      <c r="C110" s="40"/>
      <c r="D110" s="40"/>
      <c r="E110" s="40"/>
      <c r="F110" s="40"/>
      <c r="G110" s="40"/>
      <c r="H110" s="40"/>
    </row>
    <row r="111" spans="1:8" x14ac:dyDescent="0.2">
      <c r="A111" s="52" t="s">
        <v>106</v>
      </c>
      <c r="B111" s="52" t="s">
        <v>107</v>
      </c>
      <c r="C111" s="52" t="s">
        <v>108</v>
      </c>
      <c r="D111" s="52" t="s">
        <v>109</v>
      </c>
      <c r="E111" s="52" t="s">
        <v>110</v>
      </c>
      <c r="F111" s="52"/>
      <c r="G111" s="52"/>
      <c r="H111" s="52"/>
    </row>
    <row r="112" spans="1:8" x14ac:dyDescent="0.2">
      <c r="A112" s="53" t="s">
        <v>243</v>
      </c>
      <c r="B112" s="57">
        <v>125000</v>
      </c>
      <c r="C112" s="55" t="s">
        <v>127</v>
      </c>
      <c r="D112" s="58">
        <f>B112*Scenarios!$E$8*(1+IF($B$158=1,$B$161,0))</f>
        <v>125000</v>
      </c>
      <c r="E112" s="56" t="s">
        <v>244</v>
      </c>
      <c r="F112" s="39"/>
      <c r="G112" s="39"/>
      <c r="H112" s="39"/>
    </row>
    <row r="113" spans="1:8" x14ac:dyDescent="0.2">
      <c r="A113" s="53" t="s">
        <v>245</v>
      </c>
      <c r="B113" s="57">
        <v>800000</v>
      </c>
      <c r="C113" s="55" t="s">
        <v>127</v>
      </c>
      <c r="D113" s="58">
        <f>B113*Scenarios!$E$8*(1+IF($B$158=1,$B$161,0))</f>
        <v>800000</v>
      </c>
      <c r="E113" s="39"/>
      <c r="F113" s="39"/>
      <c r="G113" s="39"/>
      <c r="H113" s="39"/>
    </row>
    <row r="114" spans="1:8" x14ac:dyDescent="0.2">
      <c r="A114" s="53" t="s">
        <v>246</v>
      </c>
      <c r="B114" s="57">
        <v>1000000</v>
      </c>
      <c r="C114" s="55" t="s">
        <v>127</v>
      </c>
      <c r="D114" s="58">
        <f>B114*Scenarios!$E$8*(1+IF($B$158=1,$B$161,0))</f>
        <v>1000000</v>
      </c>
      <c r="E114" s="39"/>
      <c r="F114" s="39"/>
      <c r="G114" s="39"/>
      <c r="H114" s="39"/>
    </row>
    <row r="115" spans="1:8" x14ac:dyDescent="0.2">
      <c r="A115" s="53" t="s">
        <v>247</v>
      </c>
      <c r="B115" s="59">
        <v>0.18</v>
      </c>
      <c r="C115" s="55" t="s">
        <v>248</v>
      </c>
      <c r="D115" s="60">
        <f>B115</f>
        <v>0.18</v>
      </c>
      <c r="E115" s="56" t="s">
        <v>249</v>
      </c>
      <c r="F115" s="39"/>
      <c r="G115" s="39"/>
      <c r="H115" s="39"/>
    </row>
    <row r="116" spans="1:8" x14ac:dyDescent="0.2">
      <c r="A116" s="61" t="s">
        <v>250</v>
      </c>
      <c r="B116" s="62"/>
      <c r="C116" s="63" t="s">
        <v>127</v>
      </c>
      <c r="D116" s="79">
        <f>$D$115*($D$113+$D$114)</f>
        <v>324000</v>
      </c>
      <c r="E116" s="62"/>
      <c r="F116" s="62"/>
      <c r="G116" s="62"/>
      <c r="H116" s="62"/>
    </row>
    <row r="117" spans="1:8" x14ac:dyDescent="0.2">
      <c r="A117" s="53" t="s">
        <v>251</v>
      </c>
      <c r="B117" s="57">
        <v>16583</v>
      </c>
      <c r="C117" s="55" t="s">
        <v>127</v>
      </c>
      <c r="D117" s="58">
        <f>B117*Scenarios!$E$8*(1+IF($B$158=1,$B$161,0))</f>
        <v>16583</v>
      </c>
      <c r="E117" s="56" t="s">
        <v>252</v>
      </c>
      <c r="F117" s="39"/>
      <c r="G117" s="39"/>
      <c r="H117" s="39"/>
    </row>
    <row r="118" spans="1:8" x14ac:dyDescent="0.2">
      <c r="A118" s="53" t="s">
        <v>253</v>
      </c>
      <c r="B118" s="57">
        <v>30000</v>
      </c>
      <c r="C118" s="55" t="s">
        <v>127</v>
      </c>
      <c r="D118" s="58">
        <f>B118*Scenarios!$E$8*(1+IF($B$158=1,$B$161,0))</f>
        <v>30000</v>
      </c>
      <c r="E118" s="56" t="s">
        <v>254</v>
      </c>
      <c r="F118" s="39"/>
      <c r="G118" s="39"/>
      <c r="H118" s="39"/>
    </row>
    <row r="119" spans="1:8" x14ac:dyDescent="0.2">
      <c r="A119" s="53" t="s">
        <v>255</v>
      </c>
      <c r="B119" s="57">
        <v>10000</v>
      </c>
      <c r="C119" s="55" t="s">
        <v>127</v>
      </c>
      <c r="D119" s="58">
        <f>B119*Scenarios!$E$8*(1+IF($B$158=1,$B$161,0))</f>
        <v>10000</v>
      </c>
      <c r="E119" s="56" t="s">
        <v>256</v>
      </c>
      <c r="F119" s="39"/>
      <c r="G119" s="39"/>
      <c r="H119" s="39"/>
    </row>
    <row r="120" spans="1:8" x14ac:dyDescent="0.2">
      <c r="A120" s="53" t="s">
        <v>257</v>
      </c>
      <c r="B120" s="80">
        <v>100000</v>
      </c>
      <c r="C120" s="55" t="s">
        <v>127</v>
      </c>
      <c r="D120" s="81">
        <f>B120*Scenarios!$E$8*(1+IF($B$158=1,$B$161,0))</f>
        <v>100000</v>
      </c>
      <c r="E120" s="39"/>
      <c r="F120" s="39"/>
      <c r="G120" s="39"/>
      <c r="H120" s="39"/>
    </row>
    <row r="121" spans="1:8" x14ac:dyDescent="0.2">
      <c r="A121" s="61" t="s">
        <v>258</v>
      </c>
      <c r="B121" s="62"/>
      <c r="C121" s="63" t="s">
        <v>127</v>
      </c>
      <c r="D121" s="79">
        <f>$D$112+$D$113+$D$114+$D$116+$D$117+$D$118+$D$119+$D$120</f>
        <v>2405583</v>
      </c>
      <c r="E121" s="82" t="s">
        <v>259</v>
      </c>
      <c r="F121" s="62"/>
      <c r="G121" s="62"/>
      <c r="H121" s="62"/>
    </row>
    <row r="122" spans="1:8" x14ac:dyDescent="0.2">
      <c r="A122" s="39"/>
      <c r="B122" s="39"/>
      <c r="C122" s="39"/>
      <c r="D122" s="39"/>
      <c r="E122" s="39"/>
      <c r="F122" s="39"/>
      <c r="G122" s="39"/>
      <c r="H122" s="39"/>
    </row>
    <row r="123" spans="1:8" ht="18" customHeight="1" x14ac:dyDescent="0.2">
      <c r="A123" s="40" t="s">
        <v>260</v>
      </c>
      <c r="B123" s="40"/>
      <c r="C123" s="40"/>
      <c r="D123" s="40"/>
      <c r="E123" s="40"/>
      <c r="F123" s="40"/>
      <c r="G123" s="40"/>
      <c r="H123" s="40"/>
    </row>
    <row r="124" spans="1:8" x14ac:dyDescent="0.2">
      <c r="A124" s="52" t="s">
        <v>106</v>
      </c>
      <c r="B124" s="52" t="s">
        <v>107</v>
      </c>
      <c r="C124" s="52" t="s">
        <v>108</v>
      </c>
      <c r="D124" s="52" t="s">
        <v>109</v>
      </c>
      <c r="E124" s="52" t="s">
        <v>110</v>
      </c>
      <c r="F124" s="52"/>
      <c r="G124" s="52"/>
      <c r="H124" s="52"/>
    </row>
    <row r="125" spans="1:8" x14ac:dyDescent="0.2">
      <c r="A125" s="53" t="s">
        <v>261</v>
      </c>
      <c r="B125" s="57">
        <v>400000</v>
      </c>
      <c r="C125" s="55" t="s">
        <v>127</v>
      </c>
      <c r="D125" s="58">
        <f>B125*Scenarios!$E$8</f>
        <v>400000</v>
      </c>
      <c r="E125" s="39"/>
      <c r="F125" s="39"/>
      <c r="G125" s="39"/>
      <c r="H125" s="39"/>
    </row>
    <row r="126" spans="1:8" ht="26" x14ac:dyDescent="0.2">
      <c r="A126" s="53" t="s">
        <v>262</v>
      </c>
      <c r="B126" s="70">
        <v>13</v>
      </c>
      <c r="C126" s="55" t="s">
        <v>263</v>
      </c>
      <c r="D126" s="71">
        <f>B126</f>
        <v>13</v>
      </c>
      <c r="E126" s="56" t="s">
        <v>264</v>
      </c>
      <c r="F126" s="39"/>
      <c r="G126" s="39"/>
      <c r="H126" s="39"/>
    </row>
    <row r="127" spans="1:8" x14ac:dyDescent="0.2">
      <c r="A127" s="53" t="s">
        <v>265</v>
      </c>
      <c r="B127" s="39"/>
      <c r="C127" s="55" t="s">
        <v>115</v>
      </c>
      <c r="D127" s="66">
        <f>$D$142</f>
        <v>1000000</v>
      </c>
      <c r="E127" s="39"/>
      <c r="F127" s="39"/>
      <c r="G127" s="39"/>
      <c r="H127" s="39"/>
    </row>
    <row r="128" spans="1:8" x14ac:dyDescent="0.2">
      <c r="A128" s="53" t="s">
        <v>266</v>
      </c>
      <c r="B128" s="70">
        <v>3</v>
      </c>
      <c r="C128" s="55" t="s">
        <v>193</v>
      </c>
      <c r="D128" s="71">
        <f>B128</f>
        <v>3</v>
      </c>
      <c r="E128" s="39"/>
      <c r="F128" s="39"/>
      <c r="G128" s="39"/>
      <c r="H128" s="39"/>
    </row>
    <row r="129" spans="1:8" x14ac:dyDescent="0.2">
      <c r="A129" s="53" t="s">
        <v>267</v>
      </c>
      <c r="B129" s="70">
        <v>1</v>
      </c>
      <c r="C129" s="55" t="s">
        <v>268</v>
      </c>
      <c r="D129" s="71">
        <f>B129</f>
        <v>1</v>
      </c>
      <c r="E129" s="56" t="s">
        <v>269</v>
      </c>
      <c r="F129" s="39"/>
      <c r="G129" s="39"/>
      <c r="H129" s="39"/>
    </row>
    <row r="130" spans="1:8" x14ac:dyDescent="0.2">
      <c r="A130" s="39"/>
      <c r="B130" s="39"/>
      <c r="C130" s="39"/>
      <c r="D130" s="39"/>
      <c r="E130" s="39"/>
      <c r="F130" s="39"/>
      <c r="G130" s="39"/>
      <c r="H130" s="39"/>
    </row>
    <row r="131" spans="1:8" ht="18" customHeight="1" x14ac:dyDescent="0.2">
      <c r="A131" s="40" t="s">
        <v>270</v>
      </c>
      <c r="B131" s="40"/>
      <c r="C131" s="40"/>
      <c r="D131" s="40"/>
      <c r="E131" s="40"/>
      <c r="F131" s="40"/>
      <c r="G131" s="40"/>
      <c r="H131" s="40"/>
    </row>
    <row r="132" spans="1:8" x14ac:dyDescent="0.2">
      <c r="A132" s="52" t="s">
        <v>271</v>
      </c>
      <c r="B132" s="52" t="s">
        <v>272</v>
      </c>
      <c r="C132" s="52" t="s">
        <v>273</v>
      </c>
      <c r="D132" s="52" t="s">
        <v>274</v>
      </c>
      <c r="E132" s="52" t="s">
        <v>275</v>
      </c>
      <c r="F132" s="52" t="s">
        <v>110</v>
      </c>
      <c r="G132" s="52"/>
      <c r="H132" s="52"/>
    </row>
    <row r="133" spans="1:8" x14ac:dyDescent="0.2">
      <c r="A133" s="39" t="s">
        <v>276</v>
      </c>
      <c r="B133" s="70">
        <v>1</v>
      </c>
      <c r="C133" s="57">
        <v>900000</v>
      </c>
      <c r="D133" s="66">
        <f>B133*C133</f>
        <v>900000</v>
      </c>
      <c r="E133" s="70">
        <v>5</v>
      </c>
      <c r="F133" s="83" t="s">
        <v>277</v>
      </c>
      <c r="G133" s="39"/>
      <c r="H133" s="39"/>
    </row>
    <row r="134" spans="1:8" x14ac:dyDescent="0.2">
      <c r="A134" s="39" t="s">
        <v>278</v>
      </c>
      <c r="B134" s="70">
        <v>1</v>
      </c>
      <c r="C134" s="57">
        <v>4000000</v>
      </c>
      <c r="D134" s="66">
        <f>B134*C134</f>
        <v>4000000</v>
      </c>
      <c r="E134" s="70">
        <v>5</v>
      </c>
      <c r="F134" s="39"/>
      <c r="G134" s="39"/>
      <c r="H134" s="39"/>
    </row>
    <row r="135" spans="1:8" x14ac:dyDescent="0.2">
      <c r="A135" s="62" t="s">
        <v>279</v>
      </c>
      <c r="B135" s="84"/>
      <c r="C135" s="84"/>
      <c r="D135" s="85">
        <f>SUM(D133:D134)</f>
        <v>4900000</v>
      </c>
      <c r="E135" s="84"/>
      <c r="F135" s="84"/>
      <c r="G135" s="84"/>
      <c r="H135" s="84"/>
    </row>
    <row r="136" spans="1:8" x14ac:dyDescent="0.2">
      <c r="A136" s="39"/>
      <c r="B136" s="39"/>
      <c r="C136" s="39"/>
      <c r="D136" s="39"/>
      <c r="E136" s="39"/>
      <c r="F136" s="39"/>
      <c r="G136" s="39"/>
      <c r="H136" s="39"/>
    </row>
    <row r="137" spans="1:8" ht="18" customHeight="1" x14ac:dyDescent="0.2">
      <c r="A137" s="40" t="s">
        <v>280</v>
      </c>
      <c r="B137" s="40"/>
      <c r="C137" s="40"/>
      <c r="D137" s="40"/>
      <c r="E137" s="40"/>
      <c r="F137" s="40"/>
      <c r="G137" s="40"/>
      <c r="H137" s="40"/>
    </row>
    <row r="138" spans="1:8" x14ac:dyDescent="0.2">
      <c r="A138" s="52" t="s">
        <v>106</v>
      </c>
      <c r="B138" s="52" t="s">
        <v>107</v>
      </c>
      <c r="C138" s="52" t="s">
        <v>108</v>
      </c>
      <c r="D138" s="52" t="s">
        <v>109</v>
      </c>
      <c r="E138" s="52" t="s">
        <v>110</v>
      </c>
      <c r="F138" s="52"/>
      <c r="G138" s="52"/>
      <c r="H138" s="52"/>
    </row>
    <row r="139" spans="1:8" x14ac:dyDescent="0.2">
      <c r="A139" s="53" t="s">
        <v>86</v>
      </c>
      <c r="B139" s="57">
        <v>9000000</v>
      </c>
      <c r="C139" s="55" t="s">
        <v>115</v>
      </c>
      <c r="D139" s="66">
        <f t="shared" ref="D139:D146" si="1">B139</f>
        <v>9000000</v>
      </c>
      <c r="E139" s="56" t="s">
        <v>281</v>
      </c>
      <c r="F139" s="39"/>
      <c r="G139" s="39"/>
      <c r="H139" s="39"/>
    </row>
    <row r="140" spans="1:8" x14ac:dyDescent="0.2">
      <c r="A140" s="53" t="s">
        <v>282</v>
      </c>
      <c r="B140" s="70">
        <v>12</v>
      </c>
      <c r="C140" s="55" t="s">
        <v>193</v>
      </c>
      <c r="D140" s="71">
        <f t="shared" si="1"/>
        <v>12</v>
      </c>
      <c r="E140" s="56" t="s">
        <v>283</v>
      </c>
      <c r="F140" s="39"/>
      <c r="G140" s="39"/>
      <c r="H140" s="39"/>
    </row>
    <row r="141" spans="1:8" x14ac:dyDescent="0.2">
      <c r="A141" s="53" t="s">
        <v>284</v>
      </c>
      <c r="B141" s="70">
        <v>3</v>
      </c>
      <c r="C141" s="55" t="s">
        <v>193</v>
      </c>
      <c r="D141" s="71">
        <f t="shared" si="1"/>
        <v>3</v>
      </c>
      <c r="E141" s="56" t="s">
        <v>285</v>
      </c>
      <c r="F141" s="39"/>
      <c r="G141" s="39"/>
      <c r="H141" s="39"/>
    </row>
    <row r="142" spans="1:8" x14ac:dyDescent="0.2">
      <c r="A142" s="53" t="s">
        <v>286</v>
      </c>
      <c r="B142" s="57">
        <v>1000000</v>
      </c>
      <c r="C142" s="55" t="s">
        <v>115</v>
      </c>
      <c r="D142" s="66">
        <f t="shared" si="1"/>
        <v>1000000</v>
      </c>
      <c r="E142" s="56" t="s">
        <v>287</v>
      </c>
      <c r="F142" s="39"/>
      <c r="G142" s="39"/>
      <c r="H142" s="39"/>
    </row>
    <row r="143" spans="1:8" x14ac:dyDescent="0.2">
      <c r="A143" s="53" t="s">
        <v>288</v>
      </c>
      <c r="B143" s="59">
        <v>0.09</v>
      </c>
      <c r="C143" s="55" t="s">
        <v>151</v>
      </c>
      <c r="D143" s="60">
        <f t="shared" si="1"/>
        <v>0.09</v>
      </c>
      <c r="E143" s="39"/>
      <c r="F143" s="39"/>
      <c r="G143" s="39"/>
      <c r="H143" s="39"/>
    </row>
    <row r="144" spans="1:8" x14ac:dyDescent="0.2">
      <c r="A144" s="53" t="s">
        <v>289</v>
      </c>
      <c r="B144" s="70">
        <v>60</v>
      </c>
      <c r="C144" s="55" t="s">
        <v>193</v>
      </c>
      <c r="D144" s="71">
        <f t="shared" si="1"/>
        <v>60</v>
      </c>
      <c r="E144" s="56" t="s">
        <v>290</v>
      </c>
      <c r="F144" s="39"/>
      <c r="G144" s="39"/>
      <c r="H144" s="39"/>
    </row>
    <row r="145" spans="1:8" ht="26" x14ac:dyDescent="0.2">
      <c r="A145" s="53" t="s">
        <v>291</v>
      </c>
      <c r="B145" s="59">
        <v>0.3</v>
      </c>
      <c r="C145" s="55" t="s">
        <v>123</v>
      </c>
      <c r="D145" s="60">
        <f t="shared" si="1"/>
        <v>0.3</v>
      </c>
      <c r="E145" s="56" t="s">
        <v>292</v>
      </c>
      <c r="F145" s="39"/>
      <c r="G145" s="39"/>
      <c r="H145" s="39"/>
    </row>
    <row r="146" spans="1:8" x14ac:dyDescent="0.2">
      <c r="A146" s="53" t="s">
        <v>293</v>
      </c>
      <c r="B146" s="57">
        <v>36700000</v>
      </c>
      <c r="C146" s="55" t="s">
        <v>115</v>
      </c>
      <c r="D146" s="66">
        <f t="shared" si="1"/>
        <v>36700000</v>
      </c>
      <c r="E146" s="56" t="s">
        <v>294</v>
      </c>
      <c r="F146" s="39"/>
      <c r="G146" s="39"/>
      <c r="H146" s="39"/>
    </row>
    <row r="147" spans="1:8" x14ac:dyDescent="0.2">
      <c r="A147" s="39"/>
      <c r="B147" s="39"/>
      <c r="C147" s="39"/>
      <c r="D147" s="39"/>
      <c r="E147" s="39"/>
      <c r="F147" s="39"/>
      <c r="G147" s="39"/>
      <c r="H147" s="39"/>
    </row>
    <row r="148" spans="1:8" ht="18" customHeight="1" x14ac:dyDescent="0.2">
      <c r="A148" s="40" t="s">
        <v>295</v>
      </c>
      <c r="B148" s="40"/>
      <c r="C148" s="40"/>
      <c r="D148" s="40"/>
      <c r="E148" s="40"/>
      <c r="F148" s="40"/>
      <c r="G148" s="40"/>
      <c r="H148" s="40"/>
    </row>
    <row r="149" spans="1:8" x14ac:dyDescent="0.2">
      <c r="A149" s="52" t="s">
        <v>106</v>
      </c>
      <c r="B149" s="52" t="s">
        <v>107</v>
      </c>
      <c r="C149" s="52" t="s">
        <v>108</v>
      </c>
      <c r="D149" s="52" t="s">
        <v>109</v>
      </c>
      <c r="E149" s="52" t="s">
        <v>110</v>
      </c>
      <c r="F149" s="52"/>
      <c r="G149" s="52"/>
      <c r="H149" s="52"/>
    </row>
    <row r="150" spans="1:8" x14ac:dyDescent="0.2">
      <c r="A150" s="53" t="s">
        <v>296</v>
      </c>
      <c r="B150" s="57">
        <v>200000000</v>
      </c>
      <c r="C150" s="55" t="s">
        <v>297</v>
      </c>
      <c r="D150" s="66">
        <f>B150</f>
        <v>200000000</v>
      </c>
      <c r="E150" s="39"/>
      <c r="F150" s="39"/>
      <c r="G150" s="39"/>
      <c r="H150" s="39"/>
    </row>
    <row r="151" spans="1:8" x14ac:dyDescent="0.2">
      <c r="A151" s="53" t="s">
        <v>298</v>
      </c>
      <c r="B151" s="59">
        <v>0.05</v>
      </c>
      <c r="C151" s="55" t="s">
        <v>299</v>
      </c>
      <c r="D151" s="60">
        <f>B151</f>
        <v>0.05</v>
      </c>
      <c r="E151" s="39"/>
      <c r="F151" s="39"/>
      <c r="G151" s="39"/>
      <c r="H151" s="39"/>
    </row>
    <row r="152" spans="1:8" x14ac:dyDescent="0.2">
      <c r="A152" s="53" t="s">
        <v>300</v>
      </c>
      <c r="B152" s="59">
        <v>0.2</v>
      </c>
      <c r="C152" s="55" t="s">
        <v>301</v>
      </c>
      <c r="D152" s="60">
        <f>B152</f>
        <v>0.2</v>
      </c>
      <c r="E152" s="39"/>
      <c r="F152" s="39"/>
      <c r="G152" s="39"/>
      <c r="H152" s="39"/>
    </row>
    <row r="153" spans="1:8" x14ac:dyDescent="0.2">
      <c r="A153" s="53" t="s">
        <v>302</v>
      </c>
      <c r="B153" s="57">
        <v>1000000</v>
      </c>
      <c r="C153" s="55" t="s">
        <v>297</v>
      </c>
      <c r="D153" s="66">
        <f>B153</f>
        <v>1000000</v>
      </c>
      <c r="E153" s="56" t="s">
        <v>303</v>
      </c>
      <c r="F153" s="39"/>
      <c r="G153" s="39"/>
      <c r="H153" s="39"/>
    </row>
    <row r="154" spans="1:8" x14ac:dyDescent="0.2">
      <c r="A154" s="53" t="s">
        <v>304</v>
      </c>
      <c r="B154" s="59">
        <v>0.01</v>
      </c>
      <c r="C154" s="55" t="s">
        <v>299</v>
      </c>
      <c r="D154" s="60">
        <f>B154</f>
        <v>0.01</v>
      </c>
      <c r="E154" s="39"/>
      <c r="F154" s="39"/>
      <c r="G154" s="39"/>
      <c r="H154" s="39"/>
    </row>
    <row r="155" spans="1:8" x14ac:dyDescent="0.2">
      <c r="A155" s="39"/>
      <c r="B155" s="39"/>
      <c r="C155" s="39"/>
      <c r="D155" s="39"/>
      <c r="E155" s="39"/>
      <c r="F155" s="39"/>
      <c r="G155" s="39"/>
      <c r="H155" s="39"/>
    </row>
    <row r="156" spans="1:8" ht="18" customHeight="1" x14ac:dyDescent="0.2">
      <c r="A156" s="40" t="s">
        <v>305</v>
      </c>
      <c r="B156" s="40"/>
      <c r="C156" s="40"/>
      <c r="D156" s="40"/>
      <c r="E156" s="40"/>
      <c r="F156" s="40"/>
      <c r="G156" s="40"/>
      <c r="H156" s="40"/>
    </row>
    <row r="157" spans="1:8" x14ac:dyDescent="0.2">
      <c r="A157" s="52" t="s">
        <v>106</v>
      </c>
      <c r="B157" s="52" t="s">
        <v>306</v>
      </c>
      <c r="C157" s="52" t="s">
        <v>108</v>
      </c>
      <c r="D157" s="52"/>
      <c r="E157" s="52" t="s">
        <v>110</v>
      </c>
      <c r="F157" s="52"/>
      <c r="G157" s="52"/>
      <c r="H157" s="52"/>
    </row>
    <row r="158" spans="1:8" x14ac:dyDescent="0.2">
      <c r="A158" s="53" t="s">
        <v>307</v>
      </c>
      <c r="B158" s="70">
        <v>0</v>
      </c>
      <c r="C158" s="55" t="s">
        <v>268</v>
      </c>
      <c r="D158" s="39"/>
      <c r="E158" s="56" t="s">
        <v>308</v>
      </c>
      <c r="F158" s="39"/>
      <c r="G158" s="39"/>
      <c r="H158" s="39"/>
    </row>
    <row r="159" spans="1:8" x14ac:dyDescent="0.2">
      <c r="A159" s="53" t="s">
        <v>309</v>
      </c>
      <c r="B159" s="59">
        <v>0.3</v>
      </c>
      <c r="C159" s="55" t="s">
        <v>123</v>
      </c>
      <c r="D159" s="39"/>
      <c r="E159" s="56" t="s">
        <v>310</v>
      </c>
      <c r="F159" s="39"/>
      <c r="G159" s="39"/>
      <c r="H159" s="39"/>
    </row>
    <row r="160" spans="1:8" x14ac:dyDescent="0.2">
      <c r="A160" s="53" t="s">
        <v>311</v>
      </c>
      <c r="B160" s="70">
        <v>6</v>
      </c>
      <c r="C160" s="55" t="s">
        <v>193</v>
      </c>
      <c r="D160" s="39"/>
      <c r="E160" s="39"/>
      <c r="F160" s="39"/>
      <c r="G160" s="39"/>
      <c r="H160" s="39"/>
    </row>
    <row r="161" spans="1:3" x14ac:dyDescent="0.2">
      <c r="A161" s="86" t="s">
        <v>312</v>
      </c>
      <c r="B161" s="87">
        <v>0.3</v>
      </c>
      <c r="C161" s="88" t="s">
        <v>123</v>
      </c>
    </row>
    <row r="162" spans="1:3" x14ac:dyDescent="0.2">
      <c r="A162" s="86" t="s">
        <v>313</v>
      </c>
      <c r="B162" s="87">
        <v>0.2</v>
      </c>
      <c r="C162" s="88" t="s">
        <v>123</v>
      </c>
    </row>
    <row r="163" spans="1:3" x14ac:dyDescent="0.2">
      <c r="A163" s="86" t="s">
        <v>314</v>
      </c>
      <c r="B163" s="87">
        <v>0.04</v>
      </c>
      <c r="C163" s="88" t="s">
        <v>123</v>
      </c>
    </row>
    <row r="164" spans="1:3" x14ac:dyDescent="0.2">
      <c r="A164" s="86" t="s">
        <v>315</v>
      </c>
      <c r="B164" s="89">
        <v>2.5000000000000001E-2</v>
      </c>
      <c r="C164" s="88" t="s">
        <v>123</v>
      </c>
    </row>
    <row r="165" spans="1:3" x14ac:dyDescent="0.2">
      <c r="A165" s="86" t="s">
        <v>316</v>
      </c>
      <c r="B165" s="90">
        <v>1</v>
      </c>
      <c r="C165" s="88" t="s">
        <v>317</v>
      </c>
    </row>
  </sheetData>
  <dataValidations count="1">
    <dataValidation type="list" showInputMessage="1" showErrorMessage="1" sqref="B2" xr:uid="{00000000-0002-0000-0200-000000000000}">
      <formula1>"1,2,3"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showGridLines="0" zoomScaleNormal="100" workbookViewId="0">
      <selection activeCell="D27" sqref="D27"/>
    </sheetView>
  </sheetViews>
  <sheetFormatPr baseColWidth="10" defaultColWidth="8.83203125" defaultRowHeight="15" x14ac:dyDescent="0.2"/>
  <cols>
    <col min="1" max="1" width="46" customWidth="1"/>
    <col min="2" max="5" width="16" customWidth="1"/>
  </cols>
  <sheetData>
    <row r="1" spans="1:6" ht="22" customHeight="1" x14ac:dyDescent="0.25">
      <c r="A1" s="6" t="s">
        <v>318</v>
      </c>
      <c r="B1" s="6"/>
      <c r="C1" s="6"/>
      <c r="D1" s="6"/>
      <c r="E1" s="6"/>
      <c r="F1" s="6"/>
    </row>
    <row r="2" spans="1:6" ht="15" customHeight="1" x14ac:dyDescent="0.2">
      <c r="A2" s="11" t="s">
        <v>319</v>
      </c>
    </row>
    <row r="3" spans="1:6" ht="15" customHeight="1" x14ac:dyDescent="0.2">
      <c r="A3" s="12" t="s">
        <v>320</v>
      </c>
      <c r="B3" s="12" t="s">
        <v>321</v>
      </c>
      <c r="C3" s="12" t="s">
        <v>322</v>
      </c>
      <c r="D3" s="12" t="s">
        <v>323</v>
      </c>
      <c r="E3" s="12" t="s">
        <v>324</v>
      </c>
      <c r="F3" s="13"/>
    </row>
    <row r="4" spans="1:6" ht="15" customHeight="1" x14ac:dyDescent="0.2">
      <c r="A4" s="11" t="s">
        <v>325</v>
      </c>
      <c r="B4" s="14">
        <v>0.7</v>
      </c>
      <c r="C4" s="14">
        <v>1</v>
      </c>
      <c r="D4" s="14">
        <v>1.3</v>
      </c>
      <c r="E4" s="15">
        <f>INDEX(B4:D4,1,Parametres!$B$2)</f>
        <v>1</v>
      </c>
    </row>
    <row r="5" spans="1:6" ht="15" customHeight="1" x14ac:dyDescent="0.2">
      <c r="A5" s="11" t="s">
        <v>326</v>
      </c>
      <c r="B5" s="14">
        <v>0.7</v>
      </c>
      <c r="C5" s="14">
        <v>1</v>
      </c>
      <c r="D5" s="14">
        <v>1.3</v>
      </c>
      <c r="E5" s="15">
        <f>INDEX(B5:D5,1,Parametres!$B$2)</f>
        <v>1</v>
      </c>
    </row>
    <row r="6" spans="1:6" ht="15" customHeight="1" x14ac:dyDescent="0.2">
      <c r="A6" s="11" t="s">
        <v>327</v>
      </c>
      <c r="B6" s="14">
        <v>0.9</v>
      </c>
      <c r="C6" s="14">
        <v>1</v>
      </c>
      <c r="D6" s="14">
        <v>1.1000000000000001</v>
      </c>
      <c r="E6" s="15">
        <f>INDEX(B6:D6,1,Parametres!$B$2)</f>
        <v>1</v>
      </c>
    </row>
    <row r="7" spans="1:6" ht="15" customHeight="1" x14ac:dyDescent="0.2">
      <c r="A7" s="11" t="s">
        <v>328</v>
      </c>
      <c r="B7" s="14">
        <v>1.3</v>
      </c>
      <c r="C7" s="14">
        <v>1</v>
      </c>
      <c r="D7" s="14">
        <v>0.8</v>
      </c>
      <c r="E7" s="15">
        <f>INDEX(B7:D7,1,Parametres!$B$2)</f>
        <v>1</v>
      </c>
    </row>
    <row r="8" spans="1:6" ht="15" customHeight="1" x14ac:dyDescent="0.2">
      <c r="A8" s="11" t="s">
        <v>329</v>
      </c>
      <c r="B8" s="14">
        <v>1.05</v>
      </c>
      <c r="C8" s="14">
        <v>1</v>
      </c>
      <c r="D8" s="14">
        <v>1</v>
      </c>
      <c r="E8" s="15">
        <f>INDEX(B8:D8,1,Parametres!$B$2)</f>
        <v>1</v>
      </c>
    </row>
    <row r="10" spans="1:6" ht="15" customHeight="1" x14ac:dyDescent="0.2">
      <c r="A10" s="11" t="s">
        <v>330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80"/>
  <sheetViews>
    <sheetView showGridLines="0" zoomScaleNormal="100" workbookViewId="0">
      <pane xSplit="1" ySplit="3" topLeftCell="B4" activePane="bottomRight" state="frozen"/>
      <selection pane="topRight"/>
      <selection pane="bottomLeft" activeCell="A4" sqref="A4"/>
      <selection pane="bottomRight" activeCell="A41" sqref="A41"/>
    </sheetView>
  </sheetViews>
  <sheetFormatPr baseColWidth="10" defaultColWidth="8.83203125" defaultRowHeight="15" x14ac:dyDescent="0.2"/>
  <cols>
    <col min="1" max="1" width="78" customWidth="1"/>
    <col min="2" max="37" width="11" customWidth="1"/>
  </cols>
  <sheetData>
    <row r="1" spans="1:37" ht="22" customHeight="1" x14ac:dyDescent="0.25">
      <c r="A1" s="49" t="s">
        <v>331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</row>
    <row r="2" spans="1:37" x14ac:dyDescent="0.2">
      <c r="A2" s="52" t="s">
        <v>332</v>
      </c>
      <c r="B2" s="91">
        <f t="shared" ref="B2:AK2" si="0">INT((B3-1)/12)+1</f>
        <v>1</v>
      </c>
      <c r="C2" s="91">
        <f t="shared" si="0"/>
        <v>1</v>
      </c>
      <c r="D2" s="91">
        <f t="shared" si="0"/>
        <v>1</v>
      </c>
      <c r="E2" s="91">
        <f t="shared" si="0"/>
        <v>1</v>
      </c>
      <c r="F2" s="91">
        <f t="shared" si="0"/>
        <v>1</v>
      </c>
      <c r="G2" s="91">
        <f t="shared" si="0"/>
        <v>1</v>
      </c>
      <c r="H2" s="91">
        <f t="shared" si="0"/>
        <v>1</v>
      </c>
      <c r="I2" s="91">
        <f t="shared" si="0"/>
        <v>1</v>
      </c>
      <c r="J2" s="91">
        <f t="shared" si="0"/>
        <v>1</v>
      </c>
      <c r="K2" s="91">
        <f t="shared" si="0"/>
        <v>1</v>
      </c>
      <c r="L2" s="91">
        <f t="shared" si="0"/>
        <v>1</v>
      </c>
      <c r="M2" s="91">
        <f t="shared" si="0"/>
        <v>1</v>
      </c>
      <c r="N2" s="91">
        <f t="shared" si="0"/>
        <v>2</v>
      </c>
      <c r="O2" s="91">
        <f t="shared" si="0"/>
        <v>2</v>
      </c>
      <c r="P2" s="91">
        <f t="shared" si="0"/>
        <v>2</v>
      </c>
      <c r="Q2" s="91">
        <f t="shared" si="0"/>
        <v>2</v>
      </c>
      <c r="R2" s="91">
        <f t="shared" si="0"/>
        <v>2</v>
      </c>
      <c r="S2" s="91">
        <f t="shared" si="0"/>
        <v>2</v>
      </c>
      <c r="T2" s="91">
        <f t="shared" si="0"/>
        <v>2</v>
      </c>
      <c r="U2" s="91">
        <f t="shared" si="0"/>
        <v>2</v>
      </c>
      <c r="V2" s="91">
        <f t="shared" si="0"/>
        <v>2</v>
      </c>
      <c r="W2" s="91">
        <f t="shared" si="0"/>
        <v>2</v>
      </c>
      <c r="X2" s="91">
        <f t="shared" si="0"/>
        <v>2</v>
      </c>
      <c r="Y2" s="91">
        <f t="shared" si="0"/>
        <v>2</v>
      </c>
      <c r="Z2" s="91">
        <f t="shared" si="0"/>
        <v>3</v>
      </c>
      <c r="AA2" s="91">
        <f t="shared" si="0"/>
        <v>3</v>
      </c>
      <c r="AB2" s="91">
        <f t="shared" si="0"/>
        <v>3</v>
      </c>
      <c r="AC2" s="91">
        <f t="shared" si="0"/>
        <v>3</v>
      </c>
      <c r="AD2" s="91">
        <f t="shared" si="0"/>
        <v>3</v>
      </c>
      <c r="AE2" s="91">
        <f t="shared" si="0"/>
        <v>3</v>
      </c>
      <c r="AF2" s="91">
        <f t="shared" si="0"/>
        <v>3</v>
      </c>
      <c r="AG2" s="91">
        <f t="shared" si="0"/>
        <v>3</v>
      </c>
      <c r="AH2" s="91">
        <f t="shared" si="0"/>
        <v>3</v>
      </c>
      <c r="AI2" s="91">
        <f t="shared" si="0"/>
        <v>3</v>
      </c>
      <c r="AJ2" s="91">
        <f t="shared" si="0"/>
        <v>3</v>
      </c>
      <c r="AK2" s="91">
        <f t="shared" si="0"/>
        <v>3</v>
      </c>
    </row>
    <row r="3" spans="1:37" x14ac:dyDescent="0.2">
      <c r="A3" s="52" t="s">
        <v>333</v>
      </c>
      <c r="B3" s="91">
        <v>1</v>
      </c>
      <c r="C3" s="91">
        <v>2</v>
      </c>
      <c r="D3" s="91">
        <v>3</v>
      </c>
      <c r="E3" s="91">
        <v>4</v>
      </c>
      <c r="F3" s="91">
        <v>5</v>
      </c>
      <c r="G3" s="91">
        <v>6</v>
      </c>
      <c r="H3" s="91">
        <v>7</v>
      </c>
      <c r="I3" s="91">
        <v>8</v>
      </c>
      <c r="J3" s="91">
        <v>9</v>
      </c>
      <c r="K3" s="91">
        <v>10</v>
      </c>
      <c r="L3" s="91">
        <v>11</v>
      </c>
      <c r="M3" s="91">
        <v>12</v>
      </c>
      <c r="N3" s="91">
        <v>13</v>
      </c>
      <c r="O3" s="91">
        <v>14</v>
      </c>
      <c r="P3" s="91">
        <v>15</v>
      </c>
      <c r="Q3" s="91">
        <v>16</v>
      </c>
      <c r="R3" s="91">
        <v>17</v>
      </c>
      <c r="S3" s="91">
        <v>18</v>
      </c>
      <c r="T3" s="91">
        <v>19</v>
      </c>
      <c r="U3" s="91">
        <v>20</v>
      </c>
      <c r="V3" s="91">
        <v>21</v>
      </c>
      <c r="W3" s="91">
        <v>22</v>
      </c>
      <c r="X3" s="91">
        <v>23</v>
      </c>
      <c r="Y3" s="91">
        <v>24</v>
      </c>
      <c r="Z3" s="91">
        <v>25</v>
      </c>
      <c r="AA3" s="91">
        <v>26</v>
      </c>
      <c r="AB3" s="91">
        <v>27</v>
      </c>
      <c r="AC3" s="91">
        <v>28</v>
      </c>
      <c r="AD3" s="91">
        <v>29</v>
      </c>
      <c r="AE3" s="91">
        <v>30</v>
      </c>
      <c r="AF3" s="91">
        <v>31</v>
      </c>
      <c r="AG3" s="91">
        <v>32</v>
      </c>
      <c r="AH3" s="91">
        <v>33</v>
      </c>
      <c r="AI3" s="91">
        <v>34</v>
      </c>
      <c r="AJ3" s="91">
        <v>35</v>
      </c>
      <c r="AK3" s="91">
        <v>36</v>
      </c>
    </row>
    <row r="4" spans="1:37" x14ac:dyDescent="0.2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</row>
    <row r="5" spans="1:37" ht="18" customHeight="1" x14ac:dyDescent="0.2">
      <c r="A5" s="40" t="s">
        <v>334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</row>
    <row r="6" spans="1:37" x14ac:dyDescent="0.2">
      <c r="A6" s="39" t="s">
        <v>335</v>
      </c>
      <c r="B6" s="58">
        <f>CHOOSE(B$2,Parametres!$D$63,Parametres!$D$64,Parametres!$D$65)</f>
        <v>400000</v>
      </c>
      <c r="C6" s="58">
        <f>CHOOSE(C$2,Parametres!$D$63,Parametres!$D$64,Parametres!$D$65)</f>
        <v>400000</v>
      </c>
      <c r="D6" s="58">
        <f>CHOOSE(D$2,Parametres!$D$63,Parametres!$D$64,Parametres!$D$65)</f>
        <v>400000</v>
      </c>
      <c r="E6" s="58">
        <f>CHOOSE(E$2,Parametres!$D$63,Parametres!$D$64,Parametres!$D$65)</f>
        <v>400000</v>
      </c>
      <c r="F6" s="58">
        <f>CHOOSE(F$2,Parametres!$D$63,Parametres!$D$64,Parametres!$D$65)</f>
        <v>400000</v>
      </c>
      <c r="G6" s="58">
        <f>CHOOSE(G$2,Parametres!$D$63,Parametres!$D$64,Parametres!$D$65)</f>
        <v>400000</v>
      </c>
      <c r="H6" s="58">
        <f>CHOOSE(H$2,Parametres!$D$63,Parametres!$D$64,Parametres!$D$65)</f>
        <v>400000</v>
      </c>
      <c r="I6" s="58">
        <f>CHOOSE(I$2,Parametres!$D$63,Parametres!$D$64,Parametres!$D$65)</f>
        <v>400000</v>
      </c>
      <c r="J6" s="58">
        <f>CHOOSE(J$2,Parametres!$D$63,Parametres!$D$64,Parametres!$D$65)</f>
        <v>400000</v>
      </c>
      <c r="K6" s="58">
        <f>CHOOSE(K$2,Parametres!$D$63,Parametres!$D$64,Parametres!$D$65)</f>
        <v>400000</v>
      </c>
      <c r="L6" s="58">
        <f>CHOOSE(L$2,Parametres!$D$63,Parametres!$D$64,Parametres!$D$65)</f>
        <v>400000</v>
      </c>
      <c r="M6" s="58">
        <f>CHOOSE(M$2,Parametres!$D$63,Parametres!$D$64,Parametres!$D$65)</f>
        <v>400000</v>
      </c>
      <c r="N6" s="58">
        <f>CHOOSE(N$2,Parametres!$D$63,Parametres!$D$64,Parametres!$D$65)</f>
        <v>500000</v>
      </c>
      <c r="O6" s="58">
        <f>CHOOSE(O$2,Parametres!$D$63,Parametres!$D$64,Parametres!$D$65)</f>
        <v>500000</v>
      </c>
      <c r="P6" s="58">
        <f>CHOOSE(P$2,Parametres!$D$63,Parametres!$D$64,Parametres!$D$65)</f>
        <v>500000</v>
      </c>
      <c r="Q6" s="58">
        <f>CHOOSE(Q$2,Parametres!$D$63,Parametres!$D$64,Parametres!$D$65)</f>
        <v>500000</v>
      </c>
      <c r="R6" s="58">
        <f>CHOOSE(R$2,Parametres!$D$63,Parametres!$D$64,Parametres!$D$65)</f>
        <v>500000</v>
      </c>
      <c r="S6" s="58">
        <f>CHOOSE(S$2,Parametres!$D$63,Parametres!$D$64,Parametres!$D$65)</f>
        <v>500000</v>
      </c>
      <c r="T6" s="58">
        <f>CHOOSE(T$2,Parametres!$D$63,Parametres!$D$64,Parametres!$D$65)</f>
        <v>500000</v>
      </c>
      <c r="U6" s="58">
        <f>CHOOSE(U$2,Parametres!$D$63,Parametres!$D$64,Parametres!$D$65)</f>
        <v>500000</v>
      </c>
      <c r="V6" s="58">
        <f>CHOOSE(V$2,Parametres!$D$63,Parametres!$D$64,Parametres!$D$65)</f>
        <v>500000</v>
      </c>
      <c r="W6" s="58">
        <f>CHOOSE(W$2,Parametres!$D$63,Parametres!$D$64,Parametres!$D$65)</f>
        <v>500000</v>
      </c>
      <c r="X6" s="58">
        <f>CHOOSE(X$2,Parametres!$D$63,Parametres!$D$64,Parametres!$D$65)</f>
        <v>500000</v>
      </c>
      <c r="Y6" s="58">
        <f>CHOOSE(Y$2,Parametres!$D$63,Parametres!$D$64,Parametres!$D$65)</f>
        <v>500000</v>
      </c>
      <c r="Z6" s="58">
        <f>CHOOSE(Z$2,Parametres!$D$63,Parametres!$D$64,Parametres!$D$65)</f>
        <v>600000</v>
      </c>
      <c r="AA6" s="58">
        <f>CHOOSE(AA$2,Parametres!$D$63,Parametres!$D$64,Parametres!$D$65)</f>
        <v>600000</v>
      </c>
      <c r="AB6" s="58">
        <f>CHOOSE(AB$2,Parametres!$D$63,Parametres!$D$64,Parametres!$D$65)</f>
        <v>600000</v>
      </c>
      <c r="AC6" s="58">
        <f>CHOOSE(AC$2,Parametres!$D$63,Parametres!$D$64,Parametres!$D$65)</f>
        <v>600000</v>
      </c>
      <c r="AD6" s="58">
        <f>CHOOSE(AD$2,Parametres!$D$63,Parametres!$D$64,Parametres!$D$65)</f>
        <v>600000</v>
      </c>
      <c r="AE6" s="58">
        <f>CHOOSE(AE$2,Parametres!$D$63,Parametres!$D$64,Parametres!$D$65)</f>
        <v>600000</v>
      </c>
      <c r="AF6" s="58">
        <f>CHOOSE(AF$2,Parametres!$D$63,Parametres!$D$64,Parametres!$D$65)</f>
        <v>600000</v>
      </c>
      <c r="AG6" s="58">
        <f>CHOOSE(AG$2,Parametres!$D$63,Parametres!$D$64,Parametres!$D$65)</f>
        <v>600000</v>
      </c>
      <c r="AH6" s="58">
        <f>CHOOSE(AH$2,Parametres!$D$63,Parametres!$D$64,Parametres!$D$65)</f>
        <v>600000</v>
      </c>
      <c r="AI6" s="58">
        <f>CHOOSE(AI$2,Parametres!$D$63,Parametres!$D$64,Parametres!$D$65)</f>
        <v>600000</v>
      </c>
      <c r="AJ6" s="58">
        <f>CHOOSE(AJ$2,Parametres!$D$63,Parametres!$D$64,Parametres!$D$65)</f>
        <v>600000</v>
      </c>
      <c r="AK6" s="58">
        <f>CHOOSE(AK$2,Parametres!$D$63,Parametres!$D$64,Parametres!$D$65)</f>
        <v>600000</v>
      </c>
    </row>
    <row r="7" spans="1:37" x14ac:dyDescent="0.2">
      <c r="A7" s="39" t="s">
        <v>336</v>
      </c>
      <c r="B7" s="69">
        <f>1</f>
        <v>1</v>
      </c>
      <c r="C7" s="44">
        <f>MIN(Parametres!$D$69,MAX(Parametres!$D$68,IF(Parametres!$D$66=0,1,(B6/Parametres!$D$66)^Parametres!$D$67)))</f>
        <v>1</v>
      </c>
      <c r="D7" s="44">
        <f>MIN(Parametres!$D$69,MAX(Parametres!$D$68,IF(Parametres!$D$66=0,1,(C6/Parametres!$D$66)^Parametres!$D$67)))</f>
        <v>1</v>
      </c>
      <c r="E7" s="44">
        <f>MIN(Parametres!$D$69,MAX(Parametres!$D$68,IF(Parametres!$D$66=0,1,(D6/Parametres!$D$66)^Parametres!$D$67)))</f>
        <v>1</v>
      </c>
      <c r="F7" s="44">
        <f>MIN(Parametres!$D$69,MAX(Parametres!$D$68,IF(Parametres!$D$66=0,1,(E6/Parametres!$D$66)^Parametres!$D$67)))</f>
        <v>1</v>
      </c>
      <c r="G7" s="44">
        <f>MIN(Parametres!$D$69,MAX(Parametres!$D$68,IF(Parametres!$D$66=0,1,(F6/Parametres!$D$66)^Parametres!$D$67)))</f>
        <v>1</v>
      </c>
      <c r="H7" s="44">
        <f>MIN(Parametres!$D$69,MAX(Parametres!$D$68,IF(Parametres!$D$66=0,1,(G6/Parametres!$D$66)^Parametres!$D$67)))</f>
        <v>1</v>
      </c>
      <c r="I7" s="44">
        <f>MIN(Parametres!$D$69,MAX(Parametres!$D$68,IF(Parametres!$D$66=0,1,(H6/Parametres!$D$66)^Parametres!$D$67)))</f>
        <v>1</v>
      </c>
      <c r="J7" s="44">
        <f>MIN(Parametres!$D$69,MAX(Parametres!$D$68,IF(Parametres!$D$66=0,1,(I6/Parametres!$D$66)^Parametres!$D$67)))</f>
        <v>1</v>
      </c>
      <c r="K7" s="44">
        <f>MIN(Parametres!$D$69,MAX(Parametres!$D$68,IF(Parametres!$D$66=0,1,(J6/Parametres!$D$66)^Parametres!$D$67)))</f>
        <v>1</v>
      </c>
      <c r="L7" s="44">
        <f>MIN(Parametres!$D$69,MAX(Parametres!$D$68,IF(Parametres!$D$66=0,1,(K6/Parametres!$D$66)^Parametres!$D$67)))</f>
        <v>1</v>
      </c>
      <c r="M7" s="44">
        <f>MIN(Parametres!$D$69,MAX(Parametres!$D$68,IF(Parametres!$D$66=0,1,(L6/Parametres!$D$66)^Parametres!$D$67)))</f>
        <v>1</v>
      </c>
      <c r="N7" s="44">
        <f>MIN(Parametres!$D$69,MAX(Parametres!$D$68,IF(Parametres!$D$66=0,1,(M6/Parametres!$D$66)^Parametres!$D$67)))</f>
        <v>1</v>
      </c>
      <c r="O7" s="44">
        <f>MIN(Parametres!$D$69,MAX(Parametres!$D$68,IF(Parametres!$D$66=0,1,(N6/Parametres!$D$66)^Parametres!$D$67)))</f>
        <v>1.1180339887498949</v>
      </c>
      <c r="P7" s="44">
        <f>MIN(Parametres!$D$69,MAX(Parametres!$D$68,IF(Parametres!$D$66=0,1,(O6/Parametres!$D$66)^Parametres!$D$67)))</f>
        <v>1.1180339887498949</v>
      </c>
      <c r="Q7" s="44">
        <f>MIN(Parametres!$D$69,MAX(Parametres!$D$68,IF(Parametres!$D$66=0,1,(P6/Parametres!$D$66)^Parametres!$D$67)))</f>
        <v>1.1180339887498949</v>
      </c>
      <c r="R7" s="44">
        <f>MIN(Parametres!$D$69,MAX(Parametres!$D$68,IF(Parametres!$D$66=0,1,(Q6/Parametres!$D$66)^Parametres!$D$67)))</f>
        <v>1.1180339887498949</v>
      </c>
      <c r="S7" s="44">
        <f>MIN(Parametres!$D$69,MAX(Parametres!$D$68,IF(Parametres!$D$66=0,1,(R6/Parametres!$D$66)^Parametres!$D$67)))</f>
        <v>1.1180339887498949</v>
      </c>
      <c r="T7" s="44">
        <f>MIN(Parametres!$D$69,MAX(Parametres!$D$68,IF(Parametres!$D$66=0,1,(S6/Parametres!$D$66)^Parametres!$D$67)))</f>
        <v>1.1180339887498949</v>
      </c>
      <c r="U7" s="44">
        <f>MIN(Parametres!$D$69,MAX(Parametres!$D$68,IF(Parametres!$D$66=0,1,(T6/Parametres!$D$66)^Parametres!$D$67)))</f>
        <v>1.1180339887498949</v>
      </c>
      <c r="V7" s="44">
        <f>MIN(Parametres!$D$69,MAX(Parametres!$D$68,IF(Parametres!$D$66=0,1,(U6/Parametres!$D$66)^Parametres!$D$67)))</f>
        <v>1.1180339887498949</v>
      </c>
      <c r="W7" s="44">
        <f>MIN(Parametres!$D$69,MAX(Parametres!$D$68,IF(Parametres!$D$66=0,1,(V6/Parametres!$D$66)^Parametres!$D$67)))</f>
        <v>1.1180339887498949</v>
      </c>
      <c r="X7" s="44">
        <f>MIN(Parametres!$D$69,MAX(Parametres!$D$68,IF(Parametres!$D$66=0,1,(W6/Parametres!$D$66)^Parametres!$D$67)))</f>
        <v>1.1180339887498949</v>
      </c>
      <c r="Y7" s="44">
        <f>MIN(Parametres!$D$69,MAX(Parametres!$D$68,IF(Parametres!$D$66=0,1,(X6/Parametres!$D$66)^Parametres!$D$67)))</f>
        <v>1.1180339887498949</v>
      </c>
      <c r="Z7" s="44">
        <f>MIN(Parametres!$D$69,MAX(Parametres!$D$68,IF(Parametres!$D$66=0,1,(Y6/Parametres!$D$66)^Parametres!$D$67)))</f>
        <v>1.1180339887498949</v>
      </c>
      <c r="AA7" s="44">
        <f>MIN(Parametres!$D$69,MAX(Parametres!$D$68,IF(Parametres!$D$66=0,1,(Z6/Parametres!$D$66)^Parametres!$D$67)))</f>
        <v>1.2247448713915889</v>
      </c>
      <c r="AB7" s="44">
        <f>MIN(Parametres!$D$69,MAX(Parametres!$D$68,IF(Parametres!$D$66=0,1,(AA6/Parametres!$D$66)^Parametres!$D$67)))</f>
        <v>1.2247448713915889</v>
      </c>
      <c r="AC7" s="44">
        <f>MIN(Parametres!$D$69,MAX(Parametres!$D$68,IF(Parametres!$D$66=0,1,(AB6/Parametres!$D$66)^Parametres!$D$67)))</f>
        <v>1.2247448713915889</v>
      </c>
      <c r="AD7" s="44">
        <f>MIN(Parametres!$D$69,MAX(Parametres!$D$68,IF(Parametres!$D$66=0,1,(AC6/Parametres!$D$66)^Parametres!$D$67)))</f>
        <v>1.2247448713915889</v>
      </c>
      <c r="AE7" s="44">
        <f>MIN(Parametres!$D$69,MAX(Parametres!$D$68,IF(Parametres!$D$66=0,1,(AD6/Parametres!$D$66)^Parametres!$D$67)))</f>
        <v>1.2247448713915889</v>
      </c>
      <c r="AF7" s="44">
        <f>MIN(Parametres!$D$69,MAX(Parametres!$D$68,IF(Parametres!$D$66=0,1,(AE6/Parametres!$D$66)^Parametres!$D$67)))</f>
        <v>1.2247448713915889</v>
      </c>
      <c r="AG7" s="44">
        <f>MIN(Parametres!$D$69,MAX(Parametres!$D$68,IF(Parametres!$D$66=0,1,(AF6/Parametres!$D$66)^Parametres!$D$67)))</f>
        <v>1.2247448713915889</v>
      </c>
      <c r="AH7" s="44">
        <f>MIN(Parametres!$D$69,MAX(Parametres!$D$68,IF(Parametres!$D$66=0,1,(AG6/Parametres!$D$66)^Parametres!$D$67)))</f>
        <v>1.2247448713915889</v>
      </c>
      <c r="AI7" s="44">
        <f>MIN(Parametres!$D$69,MAX(Parametres!$D$68,IF(Parametres!$D$66=0,1,(AH6/Parametres!$D$66)^Parametres!$D$67)))</f>
        <v>1.2247448713915889</v>
      </c>
      <c r="AJ7" s="44">
        <f>MIN(Parametres!$D$69,MAX(Parametres!$D$68,IF(Parametres!$D$66=0,1,(AI6/Parametres!$D$66)^Parametres!$D$67)))</f>
        <v>1.2247448713915889</v>
      </c>
      <c r="AK7" s="44">
        <f>MIN(Parametres!$D$69,MAX(Parametres!$D$68,IF(Parametres!$D$66=0,1,(AJ6/Parametres!$D$66)^Parametres!$D$67)))</f>
        <v>1.2247448713915889</v>
      </c>
    </row>
    <row r="8" spans="1:37" x14ac:dyDescent="0.2">
      <c r="A8" s="39" t="s">
        <v>337</v>
      </c>
      <c r="B8" s="43">
        <f>IF(AND(Parametres!$B$158=1,B$3&lt;=Parametres!$B$160),1,0)</f>
        <v>0</v>
      </c>
      <c r="C8" s="43">
        <f>IF(AND(Parametres!$B$158=1,C$3&lt;=Parametres!$B$160),1,0)</f>
        <v>0</v>
      </c>
      <c r="D8" s="43">
        <f>IF(AND(Parametres!$B$158=1,D$3&lt;=Parametres!$B$160),1,0)</f>
        <v>0</v>
      </c>
      <c r="E8" s="43">
        <f>IF(AND(Parametres!$B$158=1,E$3&lt;=Parametres!$B$160),1,0)</f>
        <v>0</v>
      </c>
      <c r="F8" s="43">
        <f>IF(AND(Parametres!$B$158=1,F$3&lt;=Parametres!$B$160),1,0)</f>
        <v>0</v>
      </c>
      <c r="G8" s="43">
        <f>IF(AND(Parametres!$B$158=1,G$3&lt;=Parametres!$B$160),1,0)</f>
        <v>0</v>
      </c>
      <c r="H8" s="43">
        <f>IF(AND(Parametres!$B$158=1,H$3&lt;=Parametres!$B$160),1,0)</f>
        <v>0</v>
      </c>
      <c r="I8" s="43">
        <f>IF(AND(Parametres!$B$158=1,I$3&lt;=Parametres!$B$160),1,0)</f>
        <v>0</v>
      </c>
      <c r="J8" s="43">
        <f>IF(AND(Parametres!$B$158=1,J$3&lt;=Parametres!$B$160),1,0)</f>
        <v>0</v>
      </c>
      <c r="K8" s="43">
        <f>IF(AND(Parametres!$B$158=1,K$3&lt;=Parametres!$B$160),1,0)</f>
        <v>0</v>
      </c>
      <c r="L8" s="43">
        <f>IF(AND(Parametres!$B$158=1,L$3&lt;=Parametres!$B$160),1,0)</f>
        <v>0</v>
      </c>
      <c r="M8" s="43">
        <f>IF(AND(Parametres!$B$158=1,M$3&lt;=Parametres!$B$160),1,0)</f>
        <v>0</v>
      </c>
      <c r="N8" s="43">
        <f>IF(AND(Parametres!$B$158=1,N$3&lt;=Parametres!$B$160),1,0)</f>
        <v>0</v>
      </c>
      <c r="O8" s="43">
        <f>IF(AND(Parametres!$B$158=1,O$3&lt;=Parametres!$B$160),1,0)</f>
        <v>0</v>
      </c>
      <c r="P8" s="43">
        <f>IF(AND(Parametres!$B$158=1,P$3&lt;=Parametres!$B$160),1,0)</f>
        <v>0</v>
      </c>
      <c r="Q8" s="43">
        <f>IF(AND(Parametres!$B$158=1,Q$3&lt;=Parametres!$B$160),1,0)</f>
        <v>0</v>
      </c>
      <c r="R8" s="43">
        <f>IF(AND(Parametres!$B$158=1,R$3&lt;=Parametres!$B$160),1,0)</f>
        <v>0</v>
      </c>
      <c r="S8" s="43">
        <f>IF(AND(Parametres!$B$158=1,S$3&lt;=Parametres!$B$160),1,0)</f>
        <v>0</v>
      </c>
      <c r="T8" s="43">
        <f>IF(AND(Parametres!$B$158=1,T$3&lt;=Parametres!$B$160),1,0)</f>
        <v>0</v>
      </c>
      <c r="U8" s="43">
        <f>IF(AND(Parametres!$B$158=1,U$3&lt;=Parametres!$B$160),1,0)</f>
        <v>0</v>
      </c>
      <c r="V8" s="43">
        <f>IF(AND(Parametres!$B$158=1,V$3&lt;=Parametres!$B$160),1,0)</f>
        <v>0</v>
      </c>
      <c r="W8" s="43">
        <f>IF(AND(Parametres!$B$158=1,W$3&lt;=Parametres!$B$160),1,0)</f>
        <v>0</v>
      </c>
      <c r="X8" s="43">
        <f>IF(AND(Parametres!$B$158=1,X$3&lt;=Parametres!$B$160),1,0)</f>
        <v>0</v>
      </c>
      <c r="Y8" s="43">
        <f>IF(AND(Parametres!$B$158=1,Y$3&lt;=Parametres!$B$160),1,0)</f>
        <v>0</v>
      </c>
      <c r="Z8" s="43">
        <f>IF(AND(Parametres!$B$158=1,Z$3&lt;=Parametres!$B$160),1,0)</f>
        <v>0</v>
      </c>
      <c r="AA8" s="43">
        <f>IF(AND(Parametres!$B$158=1,AA$3&lt;=Parametres!$B$160),1,0)</f>
        <v>0</v>
      </c>
      <c r="AB8" s="43">
        <f>IF(AND(Parametres!$B$158=1,AB$3&lt;=Parametres!$B$160),1,0)</f>
        <v>0</v>
      </c>
      <c r="AC8" s="43">
        <f>IF(AND(Parametres!$B$158=1,AC$3&lt;=Parametres!$B$160),1,0)</f>
        <v>0</v>
      </c>
      <c r="AD8" s="43">
        <f>IF(AND(Parametres!$B$158=1,AD$3&lt;=Parametres!$B$160),1,0)</f>
        <v>0</v>
      </c>
      <c r="AE8" s="43">
        <f>IF(AND(Parametres!$B$158=1,AE$3&lt;=Parametres!$B$160),1,0)</f>
        <v>0</v>
      </c>
      <c r="AF8" s="43">
        <f>IF(AND(Parametres!$B$158=1,AF$3&lt;=Parametres!$B$160),1,0)</f>
        <v>0</v>
      </c>
      <c r="AG8" s="43">
        <f>IF(AND(Parametres!$B$158=1,AG$3&lt;=Parametres!$B$160),1,0)</f>
        <v>0</v>
      </c>
      <c r="AH8" s="43">
        <f>IF(AND(Parametres!$B$158=1,AH$3&lt;=Parametres!$B$160),1,0)</f>
        <v>0</v>
      </c>
      <c r="AI8" s="43">
        <f>IF(AND(Parametres!$B$158=1,AI$3&lt;=Parametres!$B$160),1,0)</f>
        <v>0</v>
      </c>
      <c r="AJ8" s="43">
        <f>IF(AND(Parametres!$B$158=1,AJ$3&lt;=Parametres!$B$160),1,0)</f>
        <v>0</v>
      </c>
      <c r="AK8" s="43">
        <f>IF(AND(Parametres!$B$158=1,AK$3&lt;=Parametres!$B$160),1,0)</f>
        <v>0</v>
      </c>
    </row>
    <row r="9" spans="1:37" x14ac:dyDescent="0.2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</row>
    <row r="10" spans="1:37" ht="18" customHeight="1" x14ac:dyDescent="0.2">
      <c r="A10" s="40" t="s">
        <v>338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</row>
    <row r="11" spans="1:37" x14ac:dyDescent="0.2">
      <c r="A11" s="39" t="s">
        <v>339</v>
      </c>
      <c r="B11" s="45">
        <f>Parametres!$D$81*(1-IF(Parametres!$B$158=1,Parametres!$B$159,0))</f>
        <v>25</v>
      </c>
      <c r="C11" s="45">
        <f>IF(B70=1,Parametres!$D$83,Parametres!$D$82)</f>
        <v>3</v>
      </c>
      <c r="D11" s="45">
        <f>IF(C70=1,Parametres!$D$83,Parametres!$D$82)</f>
        <v>3</v>
      </c>
      <c r="E11" s="45">
        <f>IF(D70=1,Parametres!$D$83,Parametres!$D$82)</f>
        <v>3</v>
      </c>
      <c r="F11" s="45">
        <f>IF(E70=1,Parametres!$D$83,Parametres!$D$82)</f>
        <v>3</v>
      </c>
      <c r="G11" s="45">
        <f>IF(F70=1,Parametres!$D$83,Parametres!$D$82)</f>
        <v>3</v>
      </c>
      <c r="H11" s="45">
        <f>IF(G70=1,Parametres!$D$83,Parametres!$D$82)</f>
        <v>3</v>
      </c>
      <c r="I11" s="45">
        <f>IF(H70=1,Parametres!$D$83,Parametres!$D$82)</f>
        <v>3</v>
      </c>
      <c r="J11" s="45">
        <f>IF(I70=1,Parametres!$D$83,Parametres!$D$82)</f>
        <v>3</v>
      </c>
      <c r="K11" s="45">
        <f>IF(J70=1,Parametres!$D$83,Parametres!$D$82)</f>
        <v>3</v>
      </c>
      <c r="L11" s="45">
        <f>IF(K70=1,Parametres!$D$83,Parametres!$D$82)</f>
        <v>3</v>
      </c>
      <c r="M11" s="45">
        <f>IF(L70=1,Parametres!$D$83,Parametres!$D$82)</f>
        <v>3</v>
      </c>
      <c r="N11" s="45">
        <f>IF(M70=1,Parametres!$D$83,Parametres!$D$82)</f>
        <v>3</v>
      </c>
      <c r="O11" s="45">
        <f>IF(N70=1,Parametres!$D$83,Parametres!$D$82)</f>
        <v>3</v>
      </c>
      <c r="P11" s="45">
        <f>IF(O70=1,Parametres!$D$83,Parametres!$D$82)</f>
        <v>3</v>
      </c>
      <c r="Q11" s="45">
        <f>IF(P70=1,Parametres!$D$83,Parametres!$D$82)</f>
        <v>3</v>
      </c>
      <c r="R11" s="45">
        <f>IF(Q70=1,Parametres!$D$83,Parametres!$D$82)</f>
        <v>3</v>
      </c>
      <c r="S11" s="45">
        <f>IF(R70=1,Parametres!$D$83,Parametres!$D$82)</f>
        <v>3</v>
      </c>
      <c r="T11" s="45">
        <f>IF(S70=1,Parametres!$D$83,Parametres!$D$82)</f>
        <v>3</v>
      </c>
      <c r="U11" s="45">
        <f>IF(T70=1,Parametres!$D$83,Parametres!$D$82)</f>
        <v>3</v>
      </c>
      <c r="V11" s="45">
        <f>IF(U70=1,Parametres!$D$83,Parametres!$D$82)</f>
        <v>3</v>
      </c>
      <c r="W11" s="45">
        <f>IF(V70=1,Parametres!$D$83,Parametres!$D$82)</f>
        <v>3</v>
      </c>
      <c r="X11" s="45">
        <f>IF(W70=1,Parametres!$D$83,Parametres!$D$82)</f>
        <v>3</v>
      </c>
      <c r="Y11" s="45">
        <f>IF(X70=1,Parametres!$D$83,Parametres!$D$82)</f>
        <v>3</v>
      </c>
      <c r="Z11" s="45">
        <f>IF(Y70=1,Parametres!$D$83,Parametres!$D$82)</f>
        <v>3</v>
      </c>
      <c r="AA11" s="45">
        <f>IF(Z70=1,Parametres!$D$83,Parametres!$D$82)</f>
        <v>8</v>
      </c>
      <c r="AB11" s="45">
        <f>IF(AA70=1,Parametres!$D$83,Parametres!$D$82)</f>
        <v>8</v>
      </c>
      <c r="AC11" s="45">
        <f>IF(AB70=1,Parametres!$D$83,Parametres!$D$82)</f>
        <v>8</v>
      </c>
      <c r="AD11" s="45">
        <f>IF(AC70=1,Parametres!$D$83,Parametres!$D$82)</f>
        <v>8</v>
      </c>
      <c r="AE11" s="45">
        <f>IF(AD70=1,Parametres!$D$83,Parametres!$D$82)</f>
        <v>8</v>
      </c>
      <c r="AF11" s="45">
        <f>IF(AE70=1,Parametres!$D$83,Parametres!$D$82)</f>
        <v>8</v>
      </c>
      <c r="AG11" s="45">
        <f>IF(AF70=1,Parametres!$D$83,Parametres!$D$82)</f>
        <v>8</v>
      </c>
      <c r="AH11" s="45">
        <f>IF(AG70=1,Parametres!$D$83,Parametres!$D$82)</f>
        <v>8</v>
      </c>
      <c r="AI11" s="45">
        <f>IF(AH70=1,Parametres!$D$83,Parametres!$D$82)</f>
        <v>8</v>
      </c>
      <c r="AJ11" s="45">
        <f>IF(AI70=1,Parametres!$D$83,Parametres!$D$82)</f>
        <v>8</v>
      </c>
      <c r="AK11" s="45">
        <f>IF(AJ70=1,Parametres!$D$83,Parametres!$D$82)</f>
        <v>8</v>
      </c>
    </row>
    <row r="12" spans="1:37" x14ac:dyDescent="0.2">
      <c r="A12" s="39" t="s">
        <v>340</v>
      </c>
      <c r="B12" s="92">
        <f>0</f>
        <v>0</v>
      </c>
      <c r="C12" s="45">
        <f>B13*Parametres!$D$84</f>
        <v>0.75</v>
      </c>
      <c r="D12" s="45">
        <f>C13*Parametres!$D$84</f>
        <v>0.8175</v>
      </c>
      <c r="E12" s="45">
        <f>D13*Parametres!$D$84</f>
        <v>0.88297499999999995</v>
      </c>
      <c r="F12" s="45">
        <f>E13*Parametres!$D$84</f>
        <v>0.9464857499999999</v>
      </c>
      <c r="G12" s="45">
        <f>F13*Parametres!$D$84</f>
        <v>1.0080911774999999</v>
      </c>
      <c r="H12" s="45">
        <f>G13*Parametres!$D$84</f>
        <v>1.0678484421749999</v>
      </c>
      <c r="I12" s="45">
        <f>H13*Parametres!$D$84</f>
        <v>1.1258129889097499</v>
      </c>
      <c r="J12" s="45">
        <f>I13*Parametres!$D$84</f>
        <v>1.1820385992424574</v>
      </c>
      <c r="K12" s="45">
        <f>J13*Parametres!$D$84</f>
        <v>1.2365774412651835</v>
      </c>
      <c r="L12" s="45">
        <f>K13*Parametres!$D$84</f>
        <v>1.289480118027228</v>
      </c>
      <c r="M12" s="45">
        <f>L13*Parametres!$D$84</f>
        <v>1.3407957144864111</v>
      </c>
      <c r="N12" s="45">
        <f>M13*Parametres!$D$84</f>
        <v>1.3905718430518188</v>
      </c>
      <c r="O12" s="45">
        <f>N13*Parametres!$D$84</f>
        <v>1.4388546877602642</v>
      </c>
      <c r="P12" s="45">
        <f>O13*Parametres!$D$84</f>
        <v>1.4856890471274562</v>
      </c>
      <c r="Q12" s="45">
        <f>P13*Parametres!$D$84</f>
        <v>1.5311183757136326</v>
      </c>
      <c r="R12" s="45">
        <f>Q13*Parametres!$D$84</f>
        <v>1.5751848244422235</v>
      </c>
      <c r="S12" s="45">
        <f>R13*Parametres!$D$84</f>
        <v>1.6179292797089568</v>
      </c>
      <c r="T12" s="45">
        <f>S13*Parametres!$D$84</f>
        <v>1.659391401317688</v>
      </c>
      <c r="U12" s="45">
        <f>T13*Parametres!$D$84</f>
        <v>1.6996096592781573</v>
      </c>
      <c r="V12" s="45">
        <f>U13*Parametres!$D$84</f>
        <v>1.7386213694998125</v>
      </c>
      <c r="W12" s="45">
        <f>V13*Parametres!$D$84</f>
        <v>1.776462728414818</v>
      </c>
      <c r="X12" s="45">
        <f>W13*Parametres!$D$84</f>
        <v>1.8131688465623734</v>
      </c>
      <c r="Y12" s="45">
        <f>X13*Parametres!$D$84</f>
        <v>1.8487737811655021</v>
      </c>
      <c r="Z12" s="45">
        <f>Y13*Parametres!$D$84</f>
        <v>1.8833105677305368</v>
      </c>
      <c r="AA12" s="45">
        <f>Z13*Parametres!$D$84</f>
        <v>1.9168112506986208</v>
      </c>
      <c r="AB12" s="45">
        <f>AA13*Parametres!$D$84</f>
        <v>2.0993069131776618</v>
      </c>
      <c r="AC12" s="45">
        <f>AB13*Parametres!$D$84</f>
        <v>2.2763277057823319</v>
      </c>
      <c r="AD12" s="45">
        <f>AC13*Parametres!$D$84</f>
        <v>2.4480378746088616</v>
      </c>
      <c r="AE12" s="45">
        <f>AD13*Parametres!$D$84</f>
        <v>2.6145967383705959</v>
      </c>
      <c r="AF12" s="45">
        <f>AE13*Parametres!$D$84</f>
        <v>2.7761588362194782</v>
      </c>
      <c r="AG12" s="45">
        <f>AF13*Parametres!$D$84</f>
        <v>2.9328740711328938</v>
      </c>
      <c r="AH12" s="45">
        <f>AG13*Parametres!$D$84</f>
        <v>3.0848878489989064</v>
      </c>
      <c r="AI12" s="45">
        <f>AH13*Parametres!$D$84</f>
        <v>3.2323412135289393</v>
      </c>
      <c r="AJ12" s="45">
        <f>AI13*Parametres!$D$84</f>
        <v>3.3753709771230711</v>
      </c>
      <c r="AK12" s="45">
        <f>AJ13*Parametres!$D$84</f>
        <v>3.5141098478093791</v>
      </c>
    </row>
    <row r="13" spans="1:37" x14ac:dyDescent="0.2">
      <c r="A13" s="37" t="s">
        <v>341</v>
      </c>
      <c r="B13" s="93">
        <f>B11</f>
        <v>25</v>
      </c>
      <c r="C13" s="94">
        <f>B13*(1-Parametres!$D$84)+C11</f>
        <v>27.25</v>
      </c>
      <c r="D13" s="94">
        <f>C13*(1-Parametres!$D$84)+D11</f>
        <v>29.432500000000001</v>
      </c>
      <c r="E13" s="94">
        <f>D13*(1-Parametres!$D$84)+E11</f>
        <v>31.549524999999999</v>
      </c>
      <c r="F13" s="94">
        <f>E13*(1-Parametres!$D$84)+F11</f>
        <v>33.603039249999995</v>
      </c>
      <c r="G13" s="94">
        <f>F13*(1-Parametres!$D$84)+G11</f>
        <v>35.594948072499996</v>
      </c>
      <c r="H13" s="94">
        <f>G13*(1-Parametres!$D$84)+H11</f>
        <v>37.527099630324997</v>
      </c>
      <c r="I13" s="94">
        <f>H13*(1-Parametres!$D$84)+I11</f>
        <v>39.401286641415247</v>
      </c>
      <c r="J13" s="94">
        <f>I13*(1-Parametres!$D$84)+J11</f>
        <v>41.219248042172786</v>
      </c>
      <c r="K13" s="94">
        <f>J13*(1-Parametres!$D$84)+K11</f>
        <v>42.982670600907603</v>
      </c>
      <c r="L13" s="94">
        <f>K13*(1-Parametres!$D$84)+L11</f>
        <v>44.693190482880375</v>
      </c>
      <c r="M13" s="94">
        <f>L13*(1-Parametres!$D$84)+M11</f>
        <v>46.352394768393964</v>
      </c>
      <c r="N13" s="94">
        <f>M13*(1-Parametres!$D$84)+N11</f>
        <v>47.96182292534214</v>
      </c>
      <c r="O13" s="94">
        <f>N13*(1-Parametres!$D$84)+O11</f>
        <v>49.522968237581878</v>
      </c>
      <c r="P13" s="94">
        <f>O13*(1-Parametres!$D$84)+P11</f>
        <v>51.03727919045442</v>
      </c>
      <c r="Q13" s="94">
        <f>P13*(1-Parametres!$D$84)+Q11</f>
        <v>52.506160814740788</v>
      </c>
      <c r="R13" s="94">
        <f>Q13*(1-Parametres!$D$84)+R11</f>
        <v>53.930975990298563</v>
      </c>
      <c r="S13" s="94">
        <f>R13*(1-Parametres!$D$84)+S11</f>
        <v>55.313046710589603</v>
      </c>
      <c r="T13" s="94">
        <f>S13*(1-Parametres!$D$84)+T11</f>
        <v>56.653655309271912</v>
      </c>
      <c r="U13" s="94">
        <f>T13*(1-Parametres!$D$84)+U11</f>
        <v>57.954045649993752</v>
      </c>
      <c r="V13" s="94">
        <f>U13*(1-Parametres!$D$84)+V11</f>
        <v>59.215424280493934</v>
      </c>
      <c r="W13" s="94">
        <f>V13*(1-Parametres!$D$84)+W11</f>
        <v>60.438961552079114</v>
      </c>
      <c r="X13" s="94">
        <f>W13*(1-Parametres!$D$84)+X11</f>
        <v>61.625792705516737</v>
      </c>
      <c r="Y13" s="94">
        <f>X13*(1-Parametres!$D$84)+Y11</f>
        <v>62.777018924351232</v>
      </c>
      <c r="Z13" s="94">
        <f>Y13*(1-Parametres!$D$84)+Z11</f>
        <v>63.893708356620692</v>
      </c>
      <c r="AA13" s="94">
        <f>Z13*(1-Parametres!$D$84)+AA11</f>
        <v>69.976897105922063</v>
      </c>
      <c r="AB13" s="94">
        <f>AA13*(1-Parametres!$D$84)+AB11</f>
        <v>75.877590192744393</v>
      </c>
      <c r="AC13" s="94">
        <f>AB13*(1-Parametres!$D$84)+AC11</f>
        <v>81.601262486962057</v>
      </c>
      <c r="AD13" s="94">
        <f>AC13*(1-Parametres!$D$84)+AD11</f>
        <v>87.153224612353199</v>
      </c>
      <c r="AE13" s="94">
        <f>AD13*(1-Parametres!$D$84)+AE11</f>
        <v>92.538627873982605</v>
      </c>
      <c r="AF13" s="94">
        <f>AE13*(1-Parametres!$D$84)+AF11</f>
        <v>97.762469037763125</v>
      </c>
      <c r="AG13" s="94">
        <f>AF13*(1-Parametres!$D$84)+AG11</f>
        <v>102.82959496663022</v>
      </c>
      <c r="AH13" s="94">
        <f>AG13*(1-Parametres!$D$84)+AH11</f>
        <v>107.74470711763132</v>
      </c>
      <c r="AI13" s="94">
        <f>AH13*(1-Parametres!$D$84)+AI11</f>
        <v>112.51236590410238</v>
      </c>
      <c r="AJ13" s="94">
        <f>AI13*(1-Parametres!$D$84)+AJ11</f>
        <v>117.13699492697931</v>
      </c>
      <c r="AK13" s="94">
        <f>AJ13*(1-Parametres!$D$84)+AK11</f>
        <v>121.62288507916993</v>
      </c>
    </row>
    <row r="14" spans="1:37" x14ac:dyDescent="0.2">
      <c r="A14" s="39" t="s">
        <v>342</v>
      </c>
      <c r="B14" s="45">
        <f>B13*Parametres!$D$85*Parametres!$D$95</f>
        <v>160</v>
      </c>
      <c r="C14" s="45">
        <f>C13*Parametres!$D$85*Parametres!$D$95</f>
        <v>174.4</v>
      </c>
      <c r="D14" s="45">
        <f>D13*Parametres!$D$85*Parametres!$D$95</f>
        <v>188.36800000000002</v>
      </c>
      <c r="E14" s="45">
        <f>E13*Parametres!$D$85*Parametres!$D$95</f>
        <v>201.91696000000002</v>
      </c>
      <c r="F14" s="45">
        <f>F13*Parametres!$D$85*Parametres!$D$95</f>
        <v>215.05945119999998</v>
      </c>
      <c r="G14" s="45">
        <f>G13*Parametres!$D$85*Parametres!$D$95</f>
        <v>227.80766766399998</v>
      </c>
      <c r="H14" s="45">
        <f>H13*Parametres!$D$85*Parametres!$D$95</f>
        <v>240.17343763407999</v>
      </c>
      <c r="I14" s="45">
        <f>I13*Parametres!$D$85*Parametres!$D$95</f>
        <v>252.1682345050576</v>
      </c>
      <c r="J14" s="45">
        <f>J13*Parametres!$D$85*Parametres!$D$95</f>
        <v>263.80318746990582</v>
      </c>
      <c r="K14" s="45">
        <f>K13*Parametres!$D$85*Parametres!$D$95</f>
        <v>275.0890918458087</v>
      </c>
      <c r="L14" s="45">
        <f>L13*Parametres!$D$85*Parametres!$D$95</f>
        <v>286.03641909043444</v>
      </c>
      <c r="M14" s="45">
        <f>M13*Parametres!$D$85*Parametres!$D$95</f>
        <v>296.65532651772139</v>
      </c>
      <c r="N14" s="45">
        <f>N13*Parametres!$D$85*Parametres!$D$95</f>
        <v>306.95566672218973</v>
      </c>
      <c r="O14" s="45">
        <f>O13*Parametres!$D$85*Parametres!$D$95</f>
        <v>316.94699672052406</v>
      </c>
      <c r="P14" s="45">
        <f>P13*Parametres!$D$85*Parametres!$D$95</f>
        <v>326.63858681890832</v>
      </c>
      <c r="Q14" s="45">
        <f>Q13*Parametres!$D$85*Parametres!$D$95</f>
        <v>336.03942921434106</v>
      </c>
      <c r="R14" s="45">
        <f>R13*Parametres!$D$85*Parametres!$D$95</f>
        <v>345.15824633791084</v>
      </c>
      <c r="S14" s="45">
        <f>S13*Parametres!$D$85*Parametres!$D$95</f>
        <v>354.00349894777349</v>
      </c>
      <c r="T14" s="45">
        <f>T13*Parametres!$D$85*Parametres!$D$95</f>
        <v>362.58339397934026</v>
      </c>
      <c r="U14" s="45">
        <f>U13*Parametres!$D$85*Parametres!$D$95</f>
        <v>370.90589215996005</v>
      </c>
      <c r="V14" s="45">
        <f>V13*Parametres!$D$85*Parametres!$D$95</f>
        <v>378.9787153951612</v>
      </c>
      <c r="W14" s="45">
        <f>W13*Parametres!$D$85*Parametres!$D$95</f>
        <v>386.80935393330634</v>
      </c>
      <c r="X14" s="45">
        <f>X13*Parametres!$D$85*Parametres!$D$95</f>
        <v>394.40507331530716</v>
      </c>
      <c r="Y14" s="45">
        <f>Y13*Parametres!$D$85*Parametres!$D$95</f>
        <v>401.77292111584791</v>
      </c>
      <c r="Z14" s="45">
        <f>Z13*Parametres!$D$85*Parametres!$D$95</f>
        <v>408.91973348237246</v>
      </c>
      <c r="AA14" s="45">
        <f>AA13*Parametres!$D$85*Parametres!$D$95</f>
        <v>447.85214147790123</v>
      </c>
      <c r="AB14" s="45">
        <f>AB13*Parametres!$D$85*Parametres!$D$95</f>
        <v>485.61657723356416</v>
      </c>
      <c r="AC14" s="45">
        <f>AC13*Parametres!$D$85*Parametres!$D$95</f>
        <v>522.24807991655723</v>
      </c>
      <c r="AD14" s="45">
        <f>AD13*Parametres!$D$85*Parametres!$D$95</f>
        <v>557.78063751906052</v>
      </c>
      <c r="AE14" s="45">
        <f>AE13*Parametres!$D$85*Parametres!$D$95</f>
        <v>592.24721839348865</v>
      </c>
      <c r="AF14" s="45">
        <f>AF13*Parametres!$D$85*Parametres!$D$95</f>
        <v>625.67980184168403</v>
      </c>
      <c r="AG14" s="45">
        <f>AG13*Parametres!$D$85*Parametres!$D$95</f>
        <v>658.10940778643351</v>
      </c>
      <c r="AH14" s="45">
        <f>AH13*Parametres!$D$85*Parametres!$D$95</f>
        <v>689.5661255528405</v>
      </c>
      <c r="AI14" s="45">
        <f>AI13*Parametres!$D$85*Parametres!$D$95</f>
        <v>720.07914178625526</v>
      </c>
      <c r="AJ14" s="45">
        <f>AJ13*Parametres!$D$85*Parametres!$D$95</f>
        <v>749.67676753266767</v>
      </c>
      <c r="AK14" s="45">
        <f>AK13*Parametres!$D$85*Parametres!$D$95</f>
        <v>778.38646450668762</v>
      </c>
    </row>
    <row r="15" spans="1:37" x14ac:dyDescent="0.2">
      <c r="A15" s="39" t="s">
        <v>343</v>
      </c>
      <c r="B15" s="45">
        <f>B13*Parametres!$D$19</f>
        <v>2.5</v>
      </c>
      <c r="C15" s="45">
        <f>C13*Parametres!$D$19</f>
        <v>2.7250000000000001</v>
      </c>
      <c r="D15" s="45">
        <f>D13*Parametres!$D$19</f>
        <v>2.9432500000000004</v>
      </c>
      <c r="E15" s="45">
        <f>E13*Parametres!$D$19</f>
        <v>3.1549525000000003</v>
      </c>
      <c r="F15" s="45">
        <f>F13*Parametres!$D$19</f>
        <v>3.3603039249999997</v>
      </c>
      <c r="G15" s="45">
        <f>G13*Parametres!$D$19</f>
        <v>3.5594948072499997</v>
      </c>
      <c r="H15" s="45">
        <f>H13*Parametres!$D$19</f>
        <v>3.7527099630324998</v>
      </c>
      <c r="I15" s="45">
        <f>I13*Parametres!$D$19</f>
        <v>3.940128664141525</v>
      </c>
      <c r="J15" s="45">
        <f>J13*Parametres!$D$19</f>
        <v>4.1219248042172785</v>
      </c>
      <c r="K15" s="45">
        <f>K13*Parametres!$D$19</f>
        <v>4.2982670600907609</v>
      </c>
      <c r="L15" s="45">
        <f>L13*Parametres!$D$19</f>
        <v>4.4693190482880381</v>
      </c>
      <c r="M15" s="45">
        <f>M13*Parametres!$D$19</f>
        <v>4.6352394768393967</v>
      </c>
      <c r="N15" s="45">
        <f>N13*Parametres!$D$19</f>
        <v>4.7961822925342146</v>
      </c>
      <c r="O15" s="45">
        <f>O13*Parametres!$D$19</f>
        <v>4.9522968237581884</v>
      </c>
      <c r="P15" s="45">
        <f>P13*Parametres!$D$19</f>
        <v>5.1037279190454425</v>
      </c>
      <c r="Q15" s="45">
        <f>Q13*Parametres!$D$19</f>
        <v>5.250616081474079</v>
      </c>
      <c r="R15" s="45">
        <f>R13*Parametres!$D$19</f>
        <v>5.3930975990298569</v>
      </c>
      <c r="S15" s="45">
        <f>S13*Parametres!$D$19</f>
        <v>5.5313046710589608</v>
      </c>
      <c r="T15" s="45">
        <f>T13*Parametres!$D$19</f>
        <v>5.6653655309271915</v>
      </c>
      <c r="U15" s="45">
        <f>U13*Parametres!$D$19</f>
        <v>5.7954045649993757</v>
      </c>
      <c r="V15" s="45">
        <f>V13*Parametres!$D$19</f>
        <v>5.9215424280493938</v>
      </c>
      <c r="W15" s="45">
        <f>W13*Parametres!$D$19</f>
        <v>6.0438961552079116</v>
      </c>
      <c r="X15" s="45">
        <f>X13*Parametres!$D$19</f>
        <v>6.1625792705516744</v>
      </c>
      <c r="Y15" s="45">
        <f>Y13*Parametres!$D$19</f>
        <v>6.2777018924351236</v>
      </c>
      <c r="Z15" s="45">
        <f>Z13*Parametres!$D$19</f>
        <v>6.3893708356620698</v>
      </c>
      <c r="AA15" s="45">
        <f>AA13*Parametres!$D$19</f>
        <v>6.9976897105922067</v>
      </c>
      <c r="AB15" s="45">
        <f>AB13*Parametres!$D$19</f>
        <v>7.58775901927444</v>
      </c>
      <c r="AC15" s="45">
        <f>AC13*Parametres!$D$19</f>
        <v>8.1601262486962067</v>
      </c>
      <c r="AD15" s="45">
        <f>AD13*Parametres!$D$19</f>
        <v>8.7153224612353206</v>
      </c>
      <c r="AE15" s="45">
        <f>AE13*Parametres!$D$19</f>
        <v>9.2538627873982602</v>
      </c>
      <c r="AF15" s="45">
        <f>AF13*Parametres!$D$19</f>
        <v>9.7762469037763129</v>
      </c>
      <c r="AG15" s="45">
        <f>AG13*Parametres!$D$19</f>
        <v>10.282959496663024</v>
      </c>
      <c r="AH15" s="45">
        <f>AH13*Parametres!$D$19</f>
        <v>10.774470711763133</v>
      </c>
      <c r="AI15" s="45">
        <f>AI13*Parametres!$D$19</f>
        <v>11.251236590410238</v>
      </c>
      <c r="AJ15" s="45">
        <f>AJ13*Parametres!$D$19</f>
        <v>11.713699492697932</v>
      </c>
      <c r="AK15" s="45">
        <f>AK13*Parametres!$D$19</f>
        <v>12.162288507916994</v>
      </c>
    </row>
    <row r="16" spans="1:37" x14ac:dyDescent="0.2">
      <c r="A16" s="39" t="s">
        <v>344</v>
      </c>
      <c r="B16" s="58">
        <f>Parametres!$D$18*(1+Parametres!$D$45)^(B$2-1)</f>
        <v>24000</v>
      </c>
      <c r="C16" s="58">
        <f>Parametres!$D$18*(1+Parametres!$D$45)^(C$2-1)</f>
        <v>24000</v>
      </c>
      <c r="D16" s="58">
        <f>Parametres!$D$18*(1+Parametres!$D$45)^(D$2-1)</f>
        <v>24000</v>
      </c>
      <c r="E16" s="58">
        <f>Parametres!$D$18*(1+Parametres!$D$45)^(E$2-1)</f>
        <v>24000</v>
      </c>
      <c r="F16" s="58">
        <f>Parametres!$D$18*(1+Parametres!$D$45)^(F$2-1)</f>
        <v>24000</v>
      </c>
      <c r="G16" s="58">
        <f>Parametres!$D$18*(1+Parametres!$D$45)^(G$2-1)</f>
        <v>24000</v>
      </c>
      <c r="H16" s="58">
        <f>Parametres!$D$18*(1+Parametres!$D$45)^(H$2-1)</f>
        <v>24000</v>
      </c>
      <c r="I16" s="58">
        <f>Parametres!$D$18*(1+Parametres!$D$45)^(I$2-1)</f>
        <v>24000</v>
      </c>
      <c r="J16" s="58">
        <f>Parametres!$D$18*(1+Parametres!$D$45)^(J$2-1)</f>
        <v>24000</v>
      </c>
      <c r="K16" s="58">
        <f>Parametres!$D$18*(1+Parametres!$D$45)^(K$2-1)</f>
        <v>24000</v>
      </c>
      <c r="L16" s="58">
        <f>Parametres!$D$18*(1+Parametres!$D$45)^(L$2-1)</f>
        <v>24000</v>
      </c>
      <c r="M16" s="58">
        <f>Parametres!$D$18*(1+Parametres!$D$45)^(M$2-1)</f>
        <v>24000</v>
      </c>
      <c r="N16" s="58">
        <f>Parametres!$D$18*(1+Parametres!$D$45)^(N$2-1)</f>
        <v>25920</v>
      </c>
      <c r="O16" s="58">
        <f>Parametres!$D$18*(1+Parametres!$D$45)^(O$2-1)</f>
        <v>25920</v>
      </c>
      <c r="P16" s="58">
        <f>Parametres!$D$18*(1+Parametres!$D$45)^(P$2-1)</f>
        <v>25920</v>
      </c>
      <c r="Q16" s="58">
        <f>Parametres!$D$18*(1+Parametres!$D$45)^(Q$2-1)</f>
        <v>25920</v>
      </c>
      <c r="R16" s="58">
        <f>Parametres!$D$18*(1+Parametres!$D$45)^(R$2-1)</f>
        <v>25920</v>
      </c>
      <c r="S16" s="58">
        <f>Parametres!$D$18*(1+Parametres!$D$45)^(S$2-1)</f>
        <v>25920</v>
      </c>
      <c r="T16" s="58">
        <f>Parametres!$D$18*(1+Parametres!$D$45)^(T$2-1)</f>
        <v>25920</v>
      </c>
      <c r="U16" s="58">
        <f>Parametres!$D$18*(1+Parametres!$D$45)^(U$2-1)</f>
        <v>25920</v>
      </c>
      <c r="V16" s="58">
        <f>Parametres!$D$18*(1+Parametres!$D$45)^(V$2-1)</f>
        <v>25920</v>
      </c>
      <c r="W16" s="58">
        <f>Parametres!$D$18*(1+Parametres!$D$45)^(W$2-1)</f>
        <v>25920</v>
      </c>
      <c r="X16" s="58">
        <f>Parametres!$D$18*(1+Parametres!$D$45)^(X$2-1)</f>
        <v>25920</v>
      </c>
      <c r="Y16" s="58">
        <f>Parametres!$D$18*(1+Parametres!$D$45)^(Y$2-1)</f>
        <v>25920</v>
      </c>
      <c r="Z16" s="58">
        <f>Parametres!$D$18*(1+Parametres!$D$45)^(Z$2-1)</f>
        <v>27993.600000000002</v>
      </c>
      <c r="AA16" s="58">
        <f>Parametres!$D$18*(1+Parametres!$D$45)^(AA$2-1)</f>
        <v>27993.600000000002</v>
      </c>
      <c r="AB16" s="58">
        <f>Parametres!$D$18*(1+Parametres!$D$45)^(AB$2-1)</f>
        <v>27993.600000000002</v>
      </c>
      <c r="AC16" s="58">
        <f>Parametres!$D$18*(1+Parametres!$D$45)^(AC$2-1)</f>
        <v>27993.600000000002</v>
      </c>
      <c r="AD16" s="58">
        <f>Parametres!$D$18*(1+Parametres!$D$45)^(AD$2-1)</f>
        <v>27993.600000000002</v>
      </c>
      <c r="AE16" s="58">
        <f>Parametres!$D$18*(1+Parametres!$D$45)^(AE$2-1)</f>
        <v>27993.600000000002</v>
      </c>
      <c r="AF16" s="58">
        <f>Parametres!$D$18*(1+Parametres!$D$45)^(AF$2-1)</f>
        <v>27993.600000000002</v>
      </c>
      <c r="AG16" s="58">
        <f>Parametres!$D$18*(1+Parametres!$D$45)^(AG$2-1)</f>
        <v>27993.600000000002</v>
      </c>
      <c r="AH16" s="58">
        <f>Parametres!$D$18*(1+Parametres!$D$45)^(AH$2-1)</f>
        <v>27993.600000000002</v>
      </c>
      <c r="AI16" s="58">
        <f>Parametres!$D$18*(1+Parametres!$D$45)^(AI$2-1)</f>
        <v>27993.600000000002</v>
      </c>
      <c r="AJ16" s="58">
        <f>Parametres!$D$18*(1+Parametres!$D$45)^(AJ$2-1)</f>
        <v>27993.600000000002</v>
      </c>
      <c r="AK16" s="58">
        <f>Parametres!$D$18*(1+Parametres!$D$45)^(AK$2-1)</f>
        <v>27993.600000000002</v>
      </c>
    </row>
    <row r="17" spans="1:37" x14ac:dyDescent="0.2">
      <c r="A17" s="37" t="s">
        <v>345</v>
      </c>
      <c r="B17" s="95">
        <f t="shared" ref="B17:AK17" si="1">B15*B16</f>
        <v>60000</v>
      </c>
      <c r="C17" s="95">
        <f t="shared" si="1"/>
        <v>65400</v>
      </c>
      <c r="D17" s="95">
        <f t="shared" si="1"/>
        <v>70638.000000000015</v>
      </c>
      <c r="E17" s="95">
        <f t="shared" si="1"/>
        <v>75718.86</v>
      </c>
      <c r="F17" s="95">
        <f t="shared" si="1"/>
        <v>80647.294199999989</v>
      </c>
      <c r="G17" s="95">
        <f t="shared" si="1"/>
        <v>85427.875373999996</v>
      </c>
      <c r="H17" s="95">
        <f t="shared" si="1"/>
        <v>90065.039112779996</v>
      </c>
      <c r="I17" s="95">
        <f t="shared" si="1"/>
        <v>94563.087939396602</v>
      </c>
      <c r="J17" s="95">
        <f t="shared" si="1"/>
        <v>98926.195301214684</v>
      </c>
      <c r="K17" s="95">
        <f t="shared" si="1"/>
        <v>103158.40944217826</v>
      </c>
      <c r="L17" s="95">
        <f t="shared" si="1"/>
        <v>107263.65715891292</v>
      </c>
      <c r="M17" s="95">
        <f t="shared" si="1"/>
        <v>111245.74744414553</v>
      </c>
      <c r="N17" s="95">
        <f t="shared" si="1"/>
        <v>124317.04502248684</v>
      </c>
      <c r="O17" s="95">
        <f t="shared" si="1"/>
        <v>128363.53367181224</v>
      </c>
      <c r="P17" s="95">
        <f t="shared" si="1"/>
        <v>132288.62766165787</v>
      </c>
      <c r="Q17" s="95">
        <f t="shared" si="1"/>
        <v>136095.96883180813</v>
      </c>
      <c r="R17" s="95">
        <f t="shared" si="1"/>
        <v>139789.0897668539</v>
      </c>
      <c r="S17" s="95">
        <f t="shared" si="1"/>
        <v>143371.41707384828</v>
      </c>
      <c r="T17" s="95">
        <f t="shared" si="1"/>
        <v>146846.2745616328</v>
      </c>
      <c r="U17" s="95">
        <f t="shared" si="1"/>
        <v>150216.88632478382</v>
      </c>
      <c r="V17" s="95">
        <f t="shared" si="1"/>
        <v>153486.37973504027</v>
      </c>
      <c r="W17" s="95">
        <f t="shared" si="1"/>
        <v>156657.78834298908</v>
      </c>
      <c r="X17" s="95">
        <f t="shared" si="1"/>
        <v>159734.0546926994</v>
      </c>
      <c r="Y17" s="95">
        <f t="shared" si="1"/>
        <v>162718.03305191841</v>
      </c>
      <c r="Z17" s="95">
        <f t="shared" si="1"/>
        <v>178861.49142518974</v>
      </c>
      <c r="AA17" s="95">
        <f t="shared" si="1"/>
        <v>195890.52668243402</v>
      </c>
      <c r="AB17" s="95">
        <f t="shared" si="1"/>
        <v>212408.69088196097</v>
      </c>
      <c r="AC17" s="95">
        <f t="shared" si="1"/>
        <v>228431.31015550214</v>
      </c>
      <c r="AD17" s="95">
        <f t="shared" si="1"/>
        <v>243973.2508508371</v>
      </c>
      <c r="AE17" s="95">
        <f t="shared" si="1"/>
        <v>259048.93332531195</v>
      </c>
      <c r="AF17" s="95">
        <f t="shared" si="1"/>
        <v>273672.34532555263</v>
      </c>
      <c r="AG17" s="95">
        <f t="shared" si="1"/>
        <v>287857.05496578605</v>
      </c>
      <c r="AH17" s="95">
        <f t="shared" si="1"/>
        <v>301616.22331681248</v>
      </c>
      <c r="AI17" s="95">
        <f t="shared" si="1"/>
        <v>314962.61661730806</v>
      </c>
      <c r="AJ17" s="95">
        <f t="shared" si="1"/>
        <v>327908.61811878887</v>
      </c>
      <c r="AK17" s="95">
        <f t="shared" si="1"/>
        <v>340466.23957522516</v>
      </c>
    </row>
    <row r="18" spans="1:37" x14ac:dyDescent="0.2">
      <c r="A18" s="39" t="s">
        <v>346</v>
      </c>
      <c r="B18" s="45">
        <f>Parametres!$D$7*(1-IF(Parametres!$B$158=1,Parametres!$B$159,0))</f>
        <v>75</v>
      </c>
      <c r="C18" s="45">
        <f>B18*(1+IF(C8=1,0,IF(AND(C$2&gt;=2,B70=0),Parametres!$D$58,CHOOSE(C$2,Parametres!$F$52,Parametres!$G$52,Parametres!$H$52))*C7))</f>
        <v>76.5</v>
      </c>
      <c r="D18" s="45">
        <f>C18*(1+IF(D8=1,0,IF(AND(D$2&gt;=2,C70=0),Parametres!$D$58,CHOOSE(D$2,Parametres!$F$52,Parametres!$G$52,Parametres!$H$52))*D7))</f>
        <v>78.03</v>
      </c>
      <c r="E18" s="45">
        <f>D18*(1+IF(E8=1,0,IF(AND(E$2&gt;=2,D70=0),Parametres!$D$58,CHOOSE(E$2,Parametres!$F$52,Parametres!$G$52,Parametres!$H$52))*E7))</f>
        <v>79.590600000000009</v>
      </c>
      <c r="F18" s="45">
        <f>E18*(1+IF(F8=1,0,IF(AND(F$2&gt;=2,E70=0),Parametres!$D$58,CHOOSE(F$2,Parametres!$F$52,Parametres!$G$52,Parametres!$H$52))*F7))</f>
        <v>81.182412000000014</v>
      </c>
      <c r="G18" s="45">
        <f>F18*(1+IF(G8=1,0,IF(AND(G$2&gt;=2,F70=0),Parametres!$D$58,CHOOSE(G$2,Parametres!$F$52,Parametres!$G$52,Parametres!$H$52))*G7))</f>
        <v>82.806060240000022</v>
      </c>
      <c r="H18" s="45">
        <f>G18*(1+IF(H8=1,0,IF(AND(H$2&gt;=2,G70=0),Parametres!$D$58,CHOOSE(H$2,Parametres!$F$52,Parametres!$G$52,Parametres!$H$52))*H7))</f>
        <v>84.462181444800024</v>
      </c>
      <c r="I18" s="45">
        <f>H18*(1+IF(I8=1,0,IF(AND(I$2&gt;=2,H70=0),Parametres!$D$58,CHOOSE(I$2,Parametres!$F$52,Parametres!$G$52,Parametres!$H$52))*I7))</f>
        <v>86.151425073696032</v>
      </c>
      <c r="J18" s="45">
        <f>I18*(1+IF(J8=1,0,IF(AND(J$2&gt;=2,I70=0),Parametres!$D$58,CHOOSE(J$2,Parametres!$F$52,Parametres!$G$52,Parametres!$H$52))*J7))</f>
        <v>87.874453575169952</v>
      </c>
      <c r="K18" s="45">
        <f>J18*(1+IF(K8=1,0,IF(AND(K$2&gt;=2,J70=0),Parametres!$D$58,CHOOSE(K$2,Parametres!$F$52,Parametres!$G$52,Parametres!$H$52))*K7))</f>
        <v>89.631942646673352</v>
      </c>
      <c r="L18" s="45">
        <f>K18*(1+IF(L8=1,0,IF(AND(L$2&gt;=2,K70=0),Parametres!$D$58,CHOOSE(L$2,Parametres!$F$52,Parametres!$G$52,Parametres!$H$52))*L7))</f>
        <v>91.424581499606816</v>
      </c>
      <c r="M18" s="45">
        <f>L18*(1+IF(M8=1,0,IF(AND(M$2&gt;=2,L70=0),Parametres!$D$58,CHOOSE(M$2,Parametres!$F$52,Parametres!$G$52,Parametres!$H$52))*M7))</f>
        <v>93.25307312959896</v>
      </c>
      <c r="N18" s="45">
        <f>M18*(1+IF(N8=1,0,IF(AND(N$2&gt;=2,M70=0),Parametres!$D$58,CHOOSE(N$2,Parametres!$F$52,Parametres!$G$52,Parametres!$H$52))*N7))</f>
        <v>95.118134592190941</v>
      </c>
      <c r="O18" s="45">
        <f>N18*(1+IF(O8=1,0,IF(AND(O$2&gt;=2,N70=0),Parametres!$D$58,CHOOSE(O$2,Parametres!$F$52,Parametres!$G$52,Parametres!$H$52))*O7))</f>
        <v>97.245040740602079</v>
      </c>
      <c r="P18" s="45">
        <f>O18*(1+IF(P8=1,0,IF(AND(P$2&gt;=2,O70=0),Parametres!$D$58,CHOOSE(P$2,Parametres!$F$52,Parametres!$G$52,Parametres!$H$52))*P7))</f>
        <v>99.419505956309322</v>
      </c>
      <c r="Q18" s="45">
        <f>P18*(1+IF(Q8=1,0,IF(AND(Q$2&gt;=2,P70=0),Parametres!$D$58,CHOOSE(Q$2,Parametres!$F$52,Parametres!$G$52,Parametres!$H$52))*Q7))</f>
        <v>101.64259369238687</v>
      </c>
      <c r="R18" s="45">
        <f>Q18*(1+IF(R8=1,0,IF(AND(R$2&gt;=2,Q70=0),Parametres!$D$58,CHOOSE(R$2,Parametres!$F$52,Parametres!$G$52,Parametres!$H$52))*R7))</f>
        <v>103.91539118144256</v>
      </c>
      <c r="S18" s="45">
        <f>R18*(1+IF(S8=1,0,IF(AND(S$2&gt;=2,R70=0),Parametres!$D$58,CHOOSE(S$2,Parametres!$F$52,Parametres!$G$52,Parametres!$H$52))*S7))</f>
        <v>106.23900996734444</v>
      </c>
      <c r="T18" s="45">
        <f>S18*(1+IF(T8=1,0,IF(AND(T$2&gt;=2,S70=0),Parametres!$D$58,CHOOSE(T$2,Parametres!$F$52,Parametres!$G$52,Parametres!$H$52))*T7))</f>
        <v>108.61458644883706</v>
      </c>
      <c r="U18" s="45">
        <f>T18*(1+IF(U8=1,0,IF(AND(U$2&gt;=2,T70=0),Parametres!$D$58,CHOOSE(U$2,Parametres!$F$52,Parametres!$G$52,Parametres!$H$52))*U7))</f>
        <v>111.04328243531334</v>
      </c>
      <c r="V18" s="45">
        <f>U18*(1+IF(V8=1,0,IF(AND(V$2&gt;=2,U70=0),Parametres!$D$58,CHOOSE(V$2,Parametres!$F$52,Parametres!$G$52,Parametres!$H$52))*V7))</f>
        <v>113.52628571501404</v>
      </c>
      <c r="W18" s="45">
        <f>V18*(1+IF(W8=1,0,IF(AND(W$2&gt;=2,V70=0),Parametres!$D$58,CHOOSE(W$2,Parametres!$F$52,Parametres!$G$52,Parametres!$H$52))*W7))</f>
        <v>116.0648106359324</v>
      </c>
      <c r="X18" s="45">
        <f>W18*(1+IF(X8=1,0,IF(AND(X$2&gt;=2,W70=0),Parametres!$D$58,CHOOSE(X$2,Parametres!$F$52,Parametres!$G$52,Parametres!$H$52))*X7))</f>
        <v>118.66009869970827</v>
      </c>
      <c r="Y18" s="45">
        <f>X18*(1+IF(Y8=1,0,IF(AND(Y$2&gt;=2,X70=0),Parametres!$D$58,CHOOSE(Y$2,Parametres!$F$52,Parametres!$G$52,Parametres!$H$52))*Y7))</f>
        <v>121.3134191688021</v>
      </c>
      <c r="Z18" s="45">
        <f>Y18*(1+IF(Z8=1,0,IF(AND(Z$2&gt;=2,Y70=0),Parametres!$D$58,CHOOSE(Z$2,Parametres!$F$52,Parametres!$G$52,Parametres!$H$52))*Z7))</f>
        <v>124.02606968724579</v>
      </c>
      <c r="AA18" s="45">
        <f>Z18*(1+IF(AA8=1,0,IF(AND(AA$2&gt;=2,Z70=0),Parametres!$D$58,CHOOSE(AA$2,Parametres!$F$52,Parametres!$G$52,Parametres!$H$52))*AA7))</f>
        <v>127.064075542612</v>
      </c>
      <c r="AB18" s="45">
        <f>AA18*(1+IF(AB8=1,0,IF(AND(AB$2&gt;=2,AA70=0),Parametres!$D$58,CHOOSE(AB$2,Parametres!$F$52,Parametres!$G$52,Parametres!$H$52))*AB7))</f>
        <v>130.17649703979055</v>
      </c>
      <c r="AC18" s="45">
        <f>AB18*(1+IF(AC8=1,0,IF(AND(AC$2&gt;=2,AB70=0),Parametres!$D$58,CHOOSE(AC$2,Parametres!$F$52,Parametres!$G$52,Parametres!$H$52))*AC7))</f>
        <v>133.36515698229468</v>
      </c>
      <c r="AD18" s="45">
        <f>AC18*(1+IF(AD8=1,0,IF(AND(AD$2&gt;=2,AC70=0),Parametres!$D$58,CHOOSE(AD$2,Parametres!$F$52,Parametres!$G$52,Parametres!$H$52))*AD7))</f>
        <v>136.63192282302268</v>
      </c>
      <c r="AE18" s="45">
        <f>AD18*(1+IF(AE8=1,0,IF(AND(AE$2&gt;=2,AD70=0),Parametres!$D$58,CHOOSE(AE$2,Parametres!$F$52,Parametres!$G$52,Parametres!$H$52))*AE7))</f>
        <v>139.97870775794004</v>
      </c>
      <c r="AF18" s="45">
        <f>AE18*(1+IF(AF8=1,0,IF(AND(AF$2&gt;=2,AE70=0),Parametres!$D$58,CHOOSE(AF$2,Parametres!$F$52,Parametres!$G$52,Parametres!$H$52))*AF7))</f>
        <v>143.40747184655123</v>
      </c>
      <c r="AG18" s="45">
        <f>AF18*(1+IF(AG8=1,0,IF(AND(AG$2&gt;=2,AF70=0),Parametres!$D$58,CHOOSE(AG$2,Parametres!$F$52,Parametres!$G$52,Parametres!$H$52))*AG7))</f>
        <v>146.9202231598172</v>
      </c>
      <c r="AH18" s="45">
        <f>AG18*(1+IF(AH8=1,0,IF(AND(AH$2&gt;=2,AG70=0),Parametres!$D$58,CHOOSE(AH$2,Parametres!$F$52,Parametres!$G$52,Parametres!$H$52))*AH7))</f>
        <v>150.51901895619108</v>
      </c>
      <c r="AI18" s="45">
        <f>AH18*(1+IF(AI8=1,0,IF(AND(AI$2&gt;=2,AH70=0),Parametres!$D$58,CHOOSE(AI$2,Parametres!$F$52,Parametres!$G$52,Parametres!$H$52))*AI7))</f>
        <v>154.20596688646086</v>
      </c>
      <c r="AJ18" s="45">
        <f>AI18*(1+IF(AJ8=1,0,IF(AND(AJ$2&gt;=2,AI70=0),Parametres!$D$58,CHOOSE(AJ$2,Parametres!$F$52,Parametres!$G$52,Parametres!$H$52))*AJ7))</f>
        <v>157.98322622810434</v>
      </c>
      <c r="AK18" s="45">
        <f>AJ18*(1+IF(AK8=1,0,IF(AND(AK$2&gt;=2,AJ70=0),Parametres!$D$58,CHOOSE(AK$2,Parametres!$F$52,Parametres!$G$52,Parametres!$H$52))*AK7))</f>
        <v>161.85300914987971</v>
      </c>
    </row>
    <row r="19" spans="1:37" x14ac:dyDescent="0.2">
      <c r="A19" s="37" t="s">
        <v>347</v>
      </c>
      <c r="B19" s="93">
        <f t="shared" ref="B19:AK19" si="2">MIN(B18,B14)</f>
        <v>75</v>
      </c>
      <c r="C19" s="93">
        <f t="shared" si="2"/>
        <v>76.5</v>
      </c>
      <c r="D19" s="93">
        <f t="shared" si="2"/>
        <v>78.03</v>
      </c>
      <c r="E19" s="93">
        <f t="shared" si="2"/>
        <v>79.590600000000009</v>
      </c>
      <c r="F19" s="93">
        <f t="shared" si="2"/>
        <v>81.182412000000014</v>
      </c>
      <c r="G19" s="93">
        <f t="shared" si="2"/>
        <v>82.806060240000022</v>
      </c>
      <c r="H19" s="93">
        <f t="shared" si="2"/>
        <v>84.462181444800024</v>
      </c>
      <c r="I19" s="93">
        <f t="shared" si="2"/>
        <v>86.151425073696032</v>
      </c>
      <c r="J19" s="93">
        <f t="shared" si="2"/>
        <v>87.874453575169952</v>
      </c>
      <c r="K19" s="93">
        <f t="shared" si="2"/>
        <v>89.631942646673352</v>
      </c>
      <c r="L19" s="93">
        <f t="shared" si="2"/>
        <v>91.424581499606816</v>
      </c>
      <c r="M19" s="93">
        <f t="shared" si="2"/>
        <v>93.25307312959896</v>
      </c>
      <c r="N19" s="93">
        <f t="shared" si="2"/>
        <v>95.118134592190941</v>
      </c>
      <c r="O19" s="93">
        <f t="shared" si="2"/>
        <v>97.245040740602079</v>
      </c>
      <c r="P19" s="93">
        <f t="shared" si="2"/>
        <v>99.419505956309322</v>
      </c>
      <c r="Q19" s="93">
        <f t="shared" si="2"/>
        <v>101.64259369238687</v>
      </c>
      <c r="R19" s="93">
        <f t="shared" si="2"/>
        <v>103.91539118144256</v>
      </c>
      <c r="S19" s="93">
        <f t="shared" si="2"/>
        <v>106.23900996734444</v>
      </c>
      <c r="T19" s="93">
        <f t="shared" si="2"/>
        <v>108.61458644883706</v>
      </c>
      <c r="U19" s="93">
        <f t="shared" si="2"/>
        <v>111.04328243531334</v>
      </c>
      <c r="V19" s="93">
        <f t="shared" si="2"/>
        <v>113.52628571501404</v>
      </c>
      <c r="W19" s="93">
        <f t="shared" si="2"/>
        <v>116.0648106359324</v>
      </c>
      <c r="X19" s="93">
        <f t="shared" si="2"/>
        <v>118.66009869970827</v>
      </c>
      <c r="Y19" s="93">
        <f t="shared" si="2"/>
        <v>121.3134191688021</v>
      </c>
      <c r="Z19" s="93">
        <f t="shared" si="2"/>
        <v>124.02606968724579</v>
      </c>
      <c r="AA19" s="93">
        <f t="shared" si="2"/>
        <v>127.064075542612</v>
      </c>
      <c r="AB19" s="93">
        <f t="shared" si="2"/>
        <v>130.17649703979055</v>
      </c>
      <c r="AC19" s="93">
        <f t="shared" si="2"/>
        <v>133.36515698229468</v>
      </c>
      <c r="AD19" s="93">
        <f t="shared" si="2"/>
        <v>136.63192282302268</v>
      </c>
      <c r="AE19" s="93">
        <f t="shared" si="2"/>
        <v>139.97870775794004</v>
      </c>
      <c r="AF19" s="93">
        <f t="shared" si="2"/>
        <v>143.40747184655123</v>
      </c>
      <c r="AG19" s="93">
        <f t="shared" si="2"/>
        <v>146.9202231598172</v>
      </c>
      <c r="AH19" s="93">
        <f t="shared" si="2"/>
        <v>150.51901895619108</v>
      </c>
      <c r="AI19" s="93">
        <f t="shared" si="2"/>
        <v>154.20596688646086</v>
      </c>
      <c r="AJ19" s="93">
        <f t="shared" si="2"/>
        <v>157.98322622810434</v>
      </c>
      <c r="AK19" s="93">
        <f t="shared" si="2"/>
        <v>161.85300914987971</v>
      </c>
    </row>
    <row r="20" spans="1:37" x14ac:dyDescent="0.2">
      <c r="A20" s="39" t="s">
        <v>348</v>
      </c>
      <c r="B20" s="92">
        <f t="shared" ref="B20:AK20" si="3">B18-B19</f>
        <v>0</v>
      </c>
      <c r="C20" s="92">
        <f t="shared" si="3"/>
        <v>0</v>
      </c>
      <c r="D20" s="92">
        <f t="shared" si="3"/>
        <v>0</v>
      </c>
      <c r="E20" s="92">
        <f t="shared" si="3"/>
        <v>0</v>
      </c>
      <c r="F20" s="92">
        <f t="shared" si="3"/>
        <v>0</v>
      </c>
      <c r="G20" s="92">
        <f t="shared" si="3"/>
        <v>0</v>
      </c>
      <c r="H20" s="92">
        <f t="shared" si="3"/>
        <v>0</v>
      </c>
      <c r="I20" s="92">
        <f t="shared" si="3"/>
        <v>0</v>
      </c>
      <c r="J20" s="92">
        <f t="shared" si="3"/>
        <v>0</v>
      </c>
      <c r="K20" s="92">
        <f t="shared" si="3"/>
        <v>0</v>
      </c>
      <c r="L20" s="92">
        <f t="shared" si="3"/>
        <v>0</v>
      </c>
      <c r="M20" s="92">
        <f t="shared" si="3"/>
        <v>0</v>
      </c>
      <c r="N20" s="92">
        <f t="shared" si="3"/>
        <v>0</v>
      </c>
      <c r="O20" s="92">
        <f t="shared" si="3"/>
        <v>0</v>
      </c>
      <c r="P20" s="92">
        <f t="shared" si="3"/>
        <v>0</v>
      </c>
      <c r="Q20" s="92">
        <f t="shared" si="3"/>
        <v>0</v>
      </c>
      <c r="R20" s="92">
        <f t="shared" si="3"/>
        <v>0</v>
      </c>
      <c r="S20" s="92">
        <f t="shared" si="3"/>
        <v>0</v>
      </c>
      <c r="T20" s="92">
        <f t="shared" si="3"/>
        <v>0</v>
      </c>
      <c r="U20" s="92">
        <f t="shared" si="3"/>
        <v>0</v>
      </c>
      <c r="V20" s="92">
        <f t="shared" si="3"/>
        <v>0</v>
      </c>
      <c r="W20" s="92">
        <f t="shared" si="3"/>
        <v>0</v>
      </c>
      <c r="X20" s="92">
        <f t="shared" si="3"/>
        <v>0</v>
      </c>
      <c r="Y20" s="92">
        <f t="shared" si="3"/>
        <v>0</v>
      </c>
      <c r="Z20" s="92">
        <f t="shared" si="3"/>
        <v>0</v>
      </c>
      <c r="AA20" s="92">
        <f t="shared" si="3"/>
        <v>0</v>
      </c>
      <c r="AB20" s="92">
        <f t="shared" si="3"/>
        <v>0</v>
      </c>
      <c r="AC20" s="92">
        <f t="shared" si="3"/>
        <v>0</v>
      </c>
      <c r="AD20" s="92">
        <f t="shared" si="3"/>
        <v>0</v>
      </c>
      <c r="AE20" s="92">
        <f t="shared" si="3"/>
        <v>0</v>
      </c>
      <c r="AF20" s="92">
        <f t="shared" si="3"/>
        <v>0</v>
      </c>
      <c r="AG20" s="92">
        <f t="shared" si="3"/>
        <v>0</v>
      </c>
      <c r="AH20" s="92">
        <f t="shared" si="3"/>
        <v>0</v>
      </c>
      <c r="AI20" s="92">
        <f t="shared" si="3"/>
        <v>0</v>
      </c>
      <c r="AJ20" s="92">
        <f t="shared" si="3"/>
        <v>0</v>
      </c>
      <c r="AK20" s="92">
        <f t="shared" si="3"/>
        <v>0</v>
      </c>
    </row>
    <row r="21" spans="1:37" x14ac:dyDescent="0.2">
      <c r="A21" s="39" t="s">
        <v>349</v>
      </c>
      <c r="B21" s="42">
        <f>IF(B13*Parametres!$D$85=0,0,B19/(B13*Parametres!$D$85))</f>
        <v>0.375</v>
      </c>
      <c r="C21" s="42">
        <f>IF(C13*Parametres!$D$85=0,0,C19/(C13*Parametres!$D$85))</f>
        <v>0.35091743119266056</v>
      </c>
      <c r="D21" s="42">
        <f>IF(D13*Parametres!$D$85=0,0,D19/(D13*Parametres!$D$85))</f>
        <v>0.33139386732353687</v>
      </c>
      <c r="E21" s="42">
        <f>IF(E13*Parametres!$D$85=0,0,E19/(E13*Parametres!$D$85))</f>
        <v>0.31533992984046516</v>
      </c>
      <c r="F21" s="42">
        <f>IF(F13*Parametres!$D$85=0,0,F19/(F13*Parametres!$D$85))</f>
        <v>0.30199058556883374</v>
      </c>
      <c r="G21" s="42">
        <f>IF(G13*Parametres!$D$85=0,0,G19/(G13*Parametres!$D$85))</f>
        <v>0.29079288186957092</v>
      </c>
      <c r="H21" s="42">
        <f>IF(H13*Parametres!$D$85=0,0,H19/(H13*Parametres!$D$85))</f>
        <v>0.28133729450459449</v>
      </c>
      <c r="I21" s="42">
        <f>IF(I13*Parametres!$D$85=0,0,I19/(I13*Parametres!$D$85))</f>
        <v>0.27331412378022785</v>
      </c>
      <c r="J21" s="42">
        <f>IF(J13*Parametres!$D$85=0,0,J19/(J13*Parametres!$D$85))</f>
        <v>0.26648488797412884</v>
      </c>
      <c r="K21" s="42">
        <f>IF(K13*Parametres!$D$85=0,0,K19/(K13*Parametres!$D$85))</f>
        <v>0.26066302242740569</v>
      </c>
      <c r="L21" s="42">
        <f>IF(L13*Parametres!$D$85=0,0,L19/(L13*Parametres!$D$85))</f>
        <v>0.25570053433147383</v>
      </c>
      <c r="M21" s="42">
        <f>IF(M13*Parametres!$D$85=0,0,M19/(M13*Parametres!$D$85))</f>
        <v>0.25147857407246865</v>
      </c>
      <c r="N21" s="42">
        <f>IF(N13*Parametres!$D$85=0,0,N19/(N13*Parametres!$D$85))</f>
        <v>0.24790064469675391</v>
      </c>
      <c r="O21" s="42">
        <f>IF(O13*Parametres!$D$85=0,0,O19/(O13*Parametres!$D$85))</f>
        <v>0.24545439268219432</v>
      </c>
      <c r="P21" s="42">
        <f>IF(P13*Parametres!$D$85=0,0,P19/(P13*Parametres!$D$85))</f>
        <v>0.24349727183072462</v>
      </c>
      <c r="Q21" s="42">
        <f>IF(Q13*Parametres!$D$85=0,0,Q19/(Q13*Parametres!$D$85))</f>
        <v>0.24197777964336359</v>
      </c>
      <c r="R21" s="42">
        <f>IF(R13*Parametres!$D$85=0,0,R19/(R13*Parametres!$D$85))</f>
        <v>0.24085275037516357</v>
      </c>
      <c r="S21" s="42">
        <f>IF(S13*Parametres!$D$85=0,0,S19/(S13*Parametres!$D$85))</f>
        <v>0.24008578510240772</v>
      </c>
      <c r="T21" s="42">
        <f>IF(T13*Parametres!$D$85=0,0,T19/(T13*Parametres!$D$85))</f>
        <v>0.23964602516799399</v>
      </c>
      <c r="U21" s="42">
        <f>IF(U13*Parametres!$D$85=0,0,U19/(U13*Parametres!$D$85))</f>
        <v>0.2395071845068967</v>
      </c>
      <c r="V21" s="42">
        <f>IF(V13*Parametres!$D$85=0,0,V19/(V13*Parametres!$D$85))</f>
        <v>0.23964677931137143</v>
      </c>
      <c r="W21" s="42">
        <f>IF(W13*Parametres!$D$85=0,0,W19/(W13*Parametres!$D$85))</f>
        <v>0.24004550966664431</v>
      </c>
      <c r="X21" s="42">
        <f>IF(X13*Parametres!$D$85=0,0,X19/(X13*Parametres!$D$85))</f>
        <v>0.24068675933049261</v>
      </c>
      <c r="Y21" s="42">
        <f>IF(Y13*Parametres!$D$85=0,0,Y19/(Y13*Parametres!$D$85))</f>
        <v>0.24155618817092431</v>
      </c>
      <c r="Z21" s="42">
        <f>IF(Z13*Parametres!$D$85=0,0,Z19/(Z13*Parametres!$D$85))</f>
        <v>0.24264139787246</v>
      </c>
      <c r="AA21" s="42">
        <f>IF(AA13*Parametres!$D$85=0,0,AA19/(AA13*Parametres!$D$85))</f>
        <v>0.22697504604676649</v>
      </c>
      <c r="AB21" s="42">
        <f>IF(AB13*Parametres!$D$85=0,0,AB19/(AB13*Parametres!$D$85))</f>
        <v>0.2144514880960175</v>
      </c>
      <c r="AC21" s="42">
        <f>IF(AC13*Parametres!$D$85=0,0,AC19/(AC13*Parametres!$D$85))</f>
        <v>0.20429395470995818</v>
      </c>
      <c r="AD21" s="42">
        <f>IF(AD13*Parametres!$D$85=0,0,AD19/(AD13*Parametres!$D$85))</f>
        <v>0.19596509972916182</v>
      </c>
      <c r="AE21" s="42">
        <f>IF(AE13*Parametres!$D$85=0,0,AE19/(AE13*Parametres!$D$85))</f>
        <v>0.18908145573079016</v>
      </c>
      <c r="AF21" s="42">
        <f>IF(AF13*Parametres!$D$85=0,0,AF19/(AF13*Parametres!$D$85))</f>
        <v>0.1833621241081235</v>
      </c>
      <c r="AG21" s="42">
        <f>IF(AG13*Parametres!$D$85=0,0,AG19/(AG13*Parametres!$D$85))</f>
        <v>0.17859671528354149</v>
      </c>
      <c r="AH21" s="42">
        <f>IF(AH13*Parametres!$D$85=0,0,AH19/(AH13*Parametres!$D$85))</f>
        <v>0.17462460916045333</v>
      </c>
      <c r="AI21" s="42">
        <f>IF(AI13*Parametres!$D$85=0,0,AI19/(AI13*Parametres!$D$85))</f>
        <v>0.1713211317344166</v>
      </c>
      <c r="AJ21" s="42">
        <f>IF(AJ13*Parametres!$D$85=0,0,AJ19/(AJ13*Parametres!$D$85))</f>
        <v>0.16858809883951234</v>
      </c>
      <c r="AK21" s="42">
        <f>IF(AK13*Parametres!$D$85=0,0,AK19/(AK13*Parametres!$D$85))</f>
        <v>0.16634719798469891</v>
      </c>
    </row>
    <row r="22" spans="1:37" x14ac:dyDescent="0.2">
      <c r="A22" s="39" t="s">
        <v>350</v>
      </c>
      <c r="B22" s="58">
        <f>Parametres!$D$8*(1+Parametres!$D$46)^(B$2-1)</f>
        <v>35000</v>
      </c>
      <c r="C22" s="58">
        <f>Parametres!$D$8*(1+Parametres!$D$46)^(C$2-1)</f>
        <v>35000</v>
      </c>
      <c r="D22" s="58">
        <f>Parametres!$D$8*(1+Parametres!$D$46)^(D$2-1)</f>
        <v>35000</v>
      </c>
      <c r="E22" s="58">
        <f>Parametres!$D$8*(1+Parametres!$D$46)^(E$2-1)</f>
        <v>35000</v>
      </c>
      <c r="F22" s="58">
        <f>Parametres!$D$8*(1+Parametres!$D$46)^(F$2-1)</f>
        <v>35000</v>
      </c>
      <c r="G22" s="58">
        <f>Parametres!$D$8*(1+Parametres!$D$46)^(G$2-1)</f>
        <v>35000</v>
      </c>
      <c r="H22" s="58">
        <f>Parametres!$D$8*(1+Parametres!$D$46)^(H$2-1)</f>
        <v>35000</v>
      </c>
      <c r="I22" s="58">
        <f>Parametres!$D$8*(1+Parametres!$D$46)^(I$2-1)</f>
        <v>35000</v>
      </c>
      <c r="J22" s="58">
        <f>Parametres!$D$8*(1+Parametres!$D$46)^(J$2-1)</f>
        <v>35000</v>
      </c>
      <c r="K22" s="58">
        <f>Parametres!$D$8*(1+Parametres!$D$46)^(K$2-1)</f>
        <v>35000</v>
      </c>
      <c r="L22" s="58">
        <f>Parametres!$D$8*(1+Parametres!$D$46)^(L$2-1)</f>
        <v>35000</v>
      </c>
      <c r="M22" s="58">
        <f>Parametres!$D$8*(1+Parametres!$D$46)^(M$2-1)</f>
        <v>35000</v>
      </c>
      <c r="N22" s="58">
        <f>Parametres!$D$8*(1+Parametres!$D$46)^(N$2-1)</f>
        <v>37800</v>
      </c>
      <c r="O22" s="58">
        <f>Parametres!$D$8*(1+Parametres!$D$46)^(O$2-1)</f>
        <v>37800</v>
      </c>
      <c r="P22" s="58">
        <f>Parametres!$D$8*(1+Parametres!$D$46)^(P$2-1)</f>
        <v>37800</v>
      </c>
      <c r="Q22" s="58">
        <f>Parametres!$D$8*(1+Parametres!$D$46)^(Q$2-1)</f>
        <v>37800</v>
      </c>
      <c r="R22" s="58">
        <f>Parametres!$D$8*(1+Parametres!$D$46)^(R$2-1)</f>
        <v>37800</v>
      </c>
      <c r="S22" s="58">
        <f>Parametres!$D$8*(1+Parametres!$D$46)^(S$2-1)</f>
        <v>37800</v>
      </c>
      <c r="T22" s="58">
        <f>Parametres!$D$8*(1+Parametres!$D$46)^(T$2-1)</f>
        <v>37800</v>
      </c>
      <c r="U22" s="58">
        <f>Parametres!$D$8*(1+Parametres!$D$46)^(U$2-1)</f>
        <v>37800</v>
      </c>
      <c r="V22" s="58">
        <f>Parametres!$D$8*(1+Parametres!$D$46)^(V$2-1)</f>
        <v>37800</v>
      </c>
      <c r="W22" s="58">
        <f>Parametres!$D$8*(1+Parametres!$D$46)^(W$2-1)</f>
        <v>37800</v>
      </c>
      <c r="X22" s="58">
        <f>Parametres!$D$8*(1+Parametres!$D$46)^(X$2-1)</f>
        <v>37800</v>
      </c>
      <c r="Y22" s="58">
        <f>Parametres!$D$8*(1+Parametres!$D$46)^(Y$2-1)</f>
        <v>37800</v>
      </c>
      <c r="Z22" s="58">
        <f>Parametres!$D$8*(1+Parametres!$D$46)^(Z$2-1)</f>
        <v>40824</v>
      </c>
      <c r="AA22" s="58">
        <f>Parametres!$D$8*(1+Parametres!$D$46)^(AA$2-1)</f>
        <v>40824</v>
      </c>
      <c r="AB22" s="58">
        <f>Parametres!$D$8*(1+Parametres!$D$46)^(AB$2-1)</f>
        <v>40824</v>
      </c>
      <c r="AC22" s="58">
        <f>Parametres!$D$8*(1+Parametres!$D$46)^(AC$2-1)</f>
        <v>40824</v>
      </c>
      <c r="AD22" s="58">
        <f>Parametres!$D$8*(1+Parametres!$D$46)^(AD$2-1)</f>
        <v>40824</v>
      </c>
      <c r="AE22" s="58">
        <f>Parametres!$D$8*(1+Parametres!$D$46)^(AE$2-1)</f>
        <v>40824</v>
      </c>
      <c r="AF22" s="58">
        <f>Parametres!$D$8*(1+Parametres!$D$46)^(AF$2-1)</f>
        <v>40824</v>
      </c>
      <c r="AG22" s="58">
        <f>Parametres!$D$8*(1+Parametres!$D$46)^(AG$2-1)</f>
        <v>40824</v>
      </c>
      <c r="AH22" s="58">
        <f>Parametres!$D$8*(1+Parametres!$D$46)^(AH$2-1)</f>
        <v>40824</v>
      </c>
      <c r="AI22" s="58">
        <f>Parametres!$D$8*(1+Parametres!$D$46)^(AI$2-1)</f>
        <v>40824</v>
      </c>
      <c r="AJ22" s="58">
        <f>Parametres!$D$8*(1+Parametres!$D$46)^(AJ$2-1)</f>
        <v>40824</v>
      </c>
      <c r="AK22" s="58">
        <f>Parametres!$D$8*(1+Parametres!$D$46)^(AK$2-1)</f>
        <v>40824</v>
      </c>
    </row>
    <row r="23" spans="1:37" x14ac:dyDescent="0.2">
      <c r="A23" s="37" t="s">
        <v>351</v>
      </c>
      <c r="B23" s="95">
        <f t="shared" ref="B23:AK23" si="4">B19*B22</f>
        <v>2625000</v>
      </c>
      <c r="C23" s="95">
        <f t="shared" si="4"/>
        <v>2677500</v>
      </c>
      <c r="D23" s="95">
        <f t="shared" si="4"/>
        <v>2731050</v>
      </c>
      <c r="E23" s="95">
        <f t="shared" si="4"/>
        <v>2785671.0000000005</v>
      </c>
      <c r="F23" s="95">
        <f t="shared" si="4"/>
        <v>2841384.4200000004</v>
      </c>
      <c r="G23" s="95">
        <f t="shared" si="4"/>
        <v>2898212.1084000007</v>
      </c>
      <c r="H23" s="95">
        <f t="shared" si="4"/>
        <v>2956176.3505680007</v>
      </c>
      <c r="I23" s="95">
        <f t="shared" si="4"/>
        <v>3015299.8775793612</v>
      </c>
      <c r="J23" s="95">
        <f t="shared" si="4"/>
        <v>3075605.8751309481</v>
      </c>
      <c r="K23" s="95">
        <f t="shared" si="4"/>
        <v>3137117.9926335672</v>
      </c>
      <c r="L23" s="95">
        <f t="shared" si="4"/>
        <v>3199860.3524862383</v>
      </c>
      <c r="M23" s="95">
        <f t="shared" si="4"/>
        <v>3263857.5595359635</v>
      </c>
      <c r="N23" s="95">
        <f t="shared" si="4"/>
        <v>3595465.4875848177</v>
      </c>
      <c r="O23" s="95">
        <f t="shared" si="4"/>
        <v>3675862.5399947586</v>
      </c>
      <c r="P23" s="95">
        <f t="shared" si="4"/>
        <v>3758057.3251484926</v>
      </c>
      <c r="Q23" s="95">
        <f t="shared" si="4"/>
        <v>3842090.0415722234</v>
      </c>
      <c r="R23" s="95">
        <f t="shared" si="4"/>
        <v>3928001.7866585287</v>
      </c>
      <c r="S23" s="95">
        <f t="shared" si="4"/>
        <v>4015834.5767656201</v>
      </c>
      <c r="T23" s="95">
        <f t="shared" si="4"/>
        <v>4105631.3677660408</v>
      </c>
      <c r="U23" s="95">
        <f t="shared" si="4"/>
        <v>4197436.0760548441</v>
      </c>
      <c r="V23" s="95">
        <f t="shared" si="4"/>
        <v>4291293.6000275305</v>
      </c>
      <c r="W23" s="95">
        <f t="shared" si="4"/>
        <v>4387249.8420382449</v>
      </c>
      <c r="X23" s="95">
        <f t="shared" si="4"/>
        <v>4485351.7308489727</v>
      </c>
      <c r="Y23" s="95">
        <f t="shared" si="4"/>
        <v>4585647.2445807196</v>
      </c>
      <c r="Z23" s="95">
        <f t="shared" si="4"/>
        <v>5063240.2689121226</v>
      </c>
      <c r="AA23" s="95">
        <f t="shared" si="4"/>
        <v>5187263.819951592</v>
      </c>
      <c r="AB23" s="95">
        <f t="shared" si="4"/>
        <v>5314325.3151524095</v>
      </c>
      <c r="AC23" s="95">
        <f t="shared" si="4"/>
        <v>5444499.1686451975</v>
      </c>
      <c r="AD23" s="95">
        <f t="shared" si="4"/>
        <v>5577861.6173270773</v>
      </c>
      <c r="AE23" s="95">
        <f t="shared" si="4"/>
        <v>5714490.7655101446</v>
      </c>
      <c r="AF23" s="95">
        <f t="shared" si="4"/>
        <v>5854466.6306636073</v>
      </c>
      <c r="AG23" s="95">
        <f t="shared" si="4"/>
        <v>5997871.1902763769</v>
      </c>
      <c r="AH23" s="95">
        <f t="shared" si="4"/>
        <v>6144788.4298675442</v>
      </c>
      <c r="AI23" s="95">
        <f t="shared" si="4"/>
        <v>6295304.3921728777</v>
      </c>
      <c r="AJ23" s="95">
        <f t="shared" si="4"/>
        <v>6449507.2275361316</v>
      </c>
      <c r="AK23" s="95">
        <f t="shared" si="4"/>
        <v>6607487.2455346892</v>
      </c>
    </row>
    <row r="24" spans="1:37" x14ac:dyDescent="0.2">
      <c r="A24" s="37" t="s">
        <v>352</v>
      </c>
      <c r="B24" s="96">
        <f>MAX(0,B23*(Parametres!$D$13-IF(B$3&lt;=Parametres!$D$99,Parametres!$D$100,0)))</f>
        <v>295312.5</v>
      </c>
      <c r="C24" s="96">
        <f>MAX(0,C23*(Parametres!$D$13-IF(C$3&lt;=Parametres!$D$99,Parametres!$D$100,0)))</f>
        <v>301218.75</v>
      </c>
      <c r="D24" s="96">
        <f>MAX(0,D23*(Parametres!$D$13-IF(D$3&lt;=Parametres!$D$99,Parametres!$D$100,0)))</f>
        <v>307243.125</v>
      </c>
      <c r="E24" s="96">
        <f>MAX(0,E23*(Parametres!$D$13-IF(E$3&lt;=Parametres!$D$99,Parametres!$D$100,0)))</f>
        <v>313387.98750000005</v>
      </c>
      <c r="F24" s="96">
        <f>MAX(0,F23*(Parametres!$D$13-IF(F$3&lt;=Parametres!$D$99,Parametres!$D$100,0)))</f>
        <v>319655.74725000007</v>
      </c>
      <c r="G24" s="96">
        <f>MAX(0,G23*(Parametres!$D$13-IF(G$3&lt;=Parametres!$D$99,Parametres!$D$100,0)))</f>
        <v>326048.86219500011</v>
      </c>
      <c r="H24" s="96">
        <f>MAX(0,H23*(Parametres!$D$13-IF(H$3&lt;=Parametres!$D$99,Parametres!$D$100,0)))</f>
        <v>391693.3664502601</v>
      </c>
      <c r="I24" s="96">
        <f>MAX(0,I23*(Parametres!$D$13-IF(I$3&lt;=Parametres!$D$99,Parametres!$D$100,0)))</f>
        <v>399527.23377926537</v>
      </c>
      <c r="J24" s="96">
        <f>MAX(0,J23*(Parametres!$D$13-IF(J$3&lt;=Parametres!$D$99,Parametres!$D$100,0)))</f>
        <v>407517.77845485066</v>
      </c>
      <c r="K24" s="96">
        <f>MAX(0,K23*(Parametres!$D$13-IF(K$3&lt;=Parametres!$D$99,Parametres!$D$100,0)))</f>
        <v>415668.1340239477</v>
      </c>
      <c r="L24" s="96">
        <f>MAX(0,L23*(Parametres!$D$13-IF(L$3&lt;=Parametres!$D$99,Parametres!$D$100,0)))</f>
        <v>423981.49670442659</v>
      </c>
      <c r="M24" s="96">
        <f>MAX(0,M23*(Parametres!$D$13-IF(M$3&lt;=Parametres!$D$99,Parametres!$D$100,0)))</f>
        <v>432461.12663851515</v>
      </c>
      <c r="N24" s="96">
        <f>MAX(0,N23*(Parametres!$D$13-IF(N$3&lt;=Parametres!$D$99,Parametres!$D$100,0)))</f>
        <v>476399.17710498837</v>
      </c>
      <c r="O24" s="96">
        <f>MAX(0,O23*(Parametres!$D$13-IF(O$3&lt;=Parametres!$D$99,Parametres!$D$100,0)))</f>
        <v>487051.78654930554</v>
      </c>
      <c r="P24" s="96">
        <f>MAX(0,P23*(Parametres!$D$13-IF(P$3&lt;=Parametres!$D$99,Parametres!$D$100,0)))</f>
        <v>497942.5955821753</v>
      </c>
      <c r="Q24" s="96">
        <f>MAX(0,Q23*(Parametres!$D$13-IF(Q$3&lt;=Parametres!$D$99,Parametres!$D$100,0)))</f>
        <v>509076.93050831964</v>
      </c>
      <c r="R24" s="96">
        <f>MAX(0,R23*(Parametres!$D$13-IF(R$3&lt;=Parametres!$D$99,Parametres!$D$100,0)))</f>
        <v>520460.23673225509</v>
      </c>
      <c r="S24" s="96">
        <f>MAX(0,S23*(Parametres!$D$13-IF(S$3&lt;=Parametres!$D$99,Parametres!$D$100,0)))</f>
        <v>532098.08142144466</v>
      </c>
      <c r="T24" s="96">
        <f>MAX(0,T23*(Parametres!$D$13-IF(T$3&lt;=Parametres!$D$99,Parametres!$D$100,0)))</f>
        <v>543996.15622900042</v>
      </c>
      <c r="U24" s="96">
        <f>MAX(0,U23*(Parametres!$D$13-IF(U$3&lt;=Parametres!$D$99,Parametres!$D$100,0)))</f>
        <v>556160.28007726686</v>
      </c>
      <c r="V24" s="96">
        <f>MAX(0,V23*(Parametres!$D$13-IF(V$3&lt;=Parametres!$D$99,Parametres!$D$100,0)))</f>
        <v>568596.40200364776</v>
      </c>
      <c r="W24" s="96">
        <f>MAX(0,W23*(Parametres!$D$13-IF(W$3&lt;=Parametres!$D$99,Parametres!$D$100,0)))</f>
        <v>581310.60407006752</v>
      </c>
      <c r="X24" s="96">
        <f>MAX(0,X23*(Parametres!$D$13-IF(X$3&lt;=Parametres!$D$99,Parametres!$D$100,0)))</f>
        <v>594309.10433748888</v>
      </c>
      <c r="Y24" s="96">
        <f>MAX(0,Y23*(Parametres!$D$13-IF(Y$3&lt;=Parametres!$D$99,Parametres!$D$100,0)))</f>
        <v>607598.2599069454</v>
      </c>
      <c r="Z24" s="96">
        <f>MAX(0,Z23*(Parametres!$D$13-IF(Z$3&lt;=Parametres!$D$99,Parametres!$D$100,0)))</f>
        <v>670879.33563085622</v>
      </c>
      <c r="AA24" s="96">
        <f>MAX(0,AA23*(Parametres!$D$13-IF(AA$3&lt;=Parametres!$D$99,Parametres!$D$100,0)))</f>
        <v>687312.45614358597</v>
      </c>
      <c r="AB24" s="96">
        <f>MAX(0,AB23*(Parametres!$D$13-IF(AB$3&lt;=Parametres!$D$99,Parametres!$D$100,0)))</f>
        <v>704148.10425769433</v>
      </c>
      <c r="AC24" s="96">
        <f>MAX(0,AC23*(Parametres!$D$13-IF(AC$3&lt;=Parametres!$D$99,Parametres!$D$100,0)))</f>
        <v>721396.13984548871</v>
      </c>
      <c r="AD24" s="96">
        <f>MAX(0,AD23*(Parametres!$D$13-IF(AD$3&lt;=Parametres!$D$99,Parametres!$D$100,0)))</f>
        <v>739066.66429583775</v>
      </c>
      <c r="AE24" s="96">
        <f>MAX(0,AE23*(Parametres!$D$13-IF(AE$3&lt;=Parametres!$D$99,Parametres!$D$100,0)))</f>
        <v>757170.02643009415</v>
      </c>
      <c r="AF24" s="96">
        <f>MAX(0,AF23*(Parametres!$D$13-IF(AF$3&lt;=Parametres!$D$99,Parametres!$D$100,0)))</f>
        <v>775716.82856292801</v>
      </c>
      <c r="AG24" s="96">
        <f>MAX(0,AG23*(Parametres!$D$13-IF(AG$3&lt;=Parametres!$D$99,Parametres!$D$100,0)))</f>
        <v>794717.93271162</v>
      </c>
      <c r="AH24" s="96">
        <f>MAX(0,AH23*(Parametres!$D$13-IF(AH$3&lt;=Parametres!$D$99,Parametres!$D$100,0)))</f>
        <v>814184.46695744968</v>
      </c>
      <c r="AI24" s="96">
        <f>MAX(0,AI23*(Parametres!$D$13-IF(AI$3&lt;=Parametres!$D$99,Parametres!$D$100,0)))</f>
        <v>834127.83196290629</v>
      </c>
      <c r="AJ24" s="96">
        <f>MAX(0,AJ23*(Parametres!$D$13-IF(AJ$3&lt;=Parametres!$D$99,Parametres!$D$100,0)))</f>
        <v>854559.70764853747</v>
      </c>
      <c r="AK24" s="96">
        <f>MAX(0,AK23*(Parametres!$D$13-IF(AK$3&lt;=Parametres!$D$99,Parametres!$D$100,0)))</f>
        <v>875492.06003334641</v>
      </c>
    </row>
    <row r="25" spans="1:37" x14ac:dyDescent="0.2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</row>
    <row r="26" spans="1:37" ht="18" customHeight="1" x14ac:dyDescent="0.2">
      <c r="A26" s="40" t="s">
        <v>353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</row>
    <row r="27" spans="1:37" x14ac:dyDescent="0.2">
      <c r="A27" s="39" t="s">
        <v>354</v>
      </c>
      <c r="B27" s="92">
        <f>B29</f>
        <v>15</v>
      </c>
      <c r="C27" s="45">
        <f>C29-B29*(1-Parametres!$D$25)</f>
        <v>1.125</v>
      </c>
      <c r="D27" s="45">
        <f>D29-C29*(1-Parametres!$D$25)</f>
        <v>1.1812500000000021</v>
      </c>
      <c r="E27" s="45">
        <f>E29-D29*(1-Parametres!$D$25)</f>
        <v>1.2403125000000017</v>
      </c>
      <c r="F27" s="45">
        <f>F29-E29*(1-Parametres!$D$25)</f>
        <v>1.3023281250000025</v>
      </c>
      <c r="G27" s="45">
        <f>G29-F29*(1-Parametres!$D$25)</f>
        <v>1.3674445312500012</v>
      </c>
      <c r="H27" s="45">
        <f>H29-G29*(1-Parametres!$D$25)</f>
        <v>1.4358167578125034</v>
      </c>
      <c r="I27" s="45">
        <f>I29-H29*(1-Parametres!$D$25)</f>
        <v>1.5076075957031243</v>
      </c>
      <c r="J27" s="45">
        <f>J29-I29*(1-Parametres!$D$25)</f>
        <v>1.5829879754882832</v>
      </c>
      <c r="K27" s="45">
        <f>K29-J29*(1-Parametres!$D$25)</f>
        <v>1.6621373742626986</v>
      </c>
      <c r="L27" s="45">
        <f>L29-K29*(1-Parametres!$D$25)</f>
        <v>1.7452442429758328</v>
      </c>
      <c r="M27" s="45">
        <f>M29-L29*(1-Parametres!$D$25)</f>
        <v>1.8325064551246228</v>
      </c>
      <c r="N27" s="45">
        <f>N29-M29*(1-Parametres!$D$25)</f>
        <v>1.6675808741634093</v>
      </c>
      <c r="O27" s="45">
        <f>O29-N29*(1-Parametres!$D$25)</f>
        <v>1.8602560912998882</v>
      </c>
      <c r="P27" s="45">
        <f>P29-O29*(1-Parametres!$D$25)</f>
        <v>1.9434492728139823</v>
      </c>
      <c r="Q27" s="45">
        <f>Q29-P29*(1-Parametres!$D$25)</f>
        <v>2.0303629665106762</v>
      </c>
      <c r="R27" s="45">
        <f>R29-Q29*(1-Parametres!$D$25)</f>
        <v>2.1211635587529933</v>
      </c>
      <c r="S27" s="45">
        <f>S29-R29*(1-Parametres!$D$25)</f>
        <v>2.2160248769283335</v>
      </c>
      <c r="T27" s="45">
        <f>T29-S29*(1-Parametres!$D$25)</f>
        <v>2.3151285222211868</v>
      </c>
      <c r="U27" s="45">
        <f>U29-T29*(1-Parametres!$D$25)</f>
        <v>2.4186642172678887</v>
      </c>
      <c r="V27" s="45">
        <f>V29-U29*(1-Parametres!$D$25)</f>
        <v>2.5268301693590303</v>
      </c>
      <c r="W27" s="45">
        <f>W29-V29*(1-Parametres!$D$25)</f>
        <v>2.639833449884712</v>
      </c>
      <c r="X27" s="45">
        <f>X29-W29*(1-Parametres!$D$25)</f>
        <v>2.757890390749111</v>
      </c>
      <c r="Y27" s="45">
        <f>Y29-X29*(1-Parametres!$D$25)</f>
        <v>2.8812269985132843</v>
      </c>
      <c r="Z27" s="45">
        <f>Z29-Y29*(1-Parametres!$D$25)</f>
        <v>2.5273907124133999</v>
      </c>
      <c r="AA27" s="45">
        <f>AA29-Z29*(1-Parametres!$D$25)</f>
        <v>2.7550085342965929</v>
      </c>
      <c r="AB27" s="45">
        <f>AB29-AA29*(1-Parametres!$D$25)</f>
        <v>2.8562340114871887</v>
      </c>
      <c r="AC27" s="45">
        <f>AC29-AB29*(1-Parametres!$D$25)</f>
        <v>2.9611787501990889</v>
      </c>
      <c r="AD27" s="45">
        <f>AD29-AC29*(1-Parametres!$D$25)</f>
        <v>3.0699794048264835</v>
      </c>
      <c r="AE27" s="45">
        <f>AE29-AD29*(1-Parametres!$D$25)</f>
        <v>3.1827776507666599</v>
      </c>
      <c r="AF27" s="45">
        <f>AF29-AE29*(1-Parametres!$D$25)</f>
        <v>3.2997203689033441</v>
      </c>
      <c r="AG27" s="45">
        <f>AG29-AF29*(1-Parametres!$D$25)</f>
        <v>3.420959836868569</v>
      </c>
      <c r="AH27" s="45">
        <f>AH29-AG29*(1-Parametres!$D$25)</f>
        <v>3.5466539273318105</v>
      </c>
      <c r="AI27" s="45">
        <f>AI29-AH29*(1-Parametres!$D$25)</f>
        <v>3.6769663135748303</v>
      </c>
      <c r="AJ27" s="45">
        <f>AJ29-AI29*(1-Parametres!$D$25)</f>
        <v>3.8120666826197436</v>
      </c>
      <c r="AK27" s="45">
        <f>AK29-AJ29*(1-Parametres!$D$25)</f>
        <v>3.9521309561879789</v>
      </c>
    </row>
    <row r="28" spans="1:37" x14ac:dyDescent="0.2">
      <c r="A28" s="39" t="s">
        <v>355</v>
      </c>
      <c r="B28" s="92">
        <f>0</f>
        <v>0</v>
      </c>
      <c r="C28" s="45">
        <f>B29*Parametres!$D$25</f>
        <v>0.375</v>
      </c>
      <c r="D28" s="45">
        <f>C29*Parametres!$D$25</f>
        <v>0.39375000000000004</v>
      </c>
      <c r="E28" s="45">
        <f>D29*Parametres!$D$25</f>
        <v>0.41343750000000007</v>
      </c>
      <c r="F28" s="45">
        <f>E29*Parametres!$D$25</f>
        <v>0.43410937500000008</v>
      </c>
      <c r="G28" s="45">
        <f>F29*Parametres!$D$25</f>
        <v>0.45581484375000009</v>
      </c>
      <c r="H28" s="45">
        <f>G29*Parametres!$D$25</f>
        <v>0.47860558593750008</v>
      </c>
      <c r="I28" s="45">
        <f>H29*Parametres!$D$25</f>
        <v>0.5025358652343751</v>
      </c>
      <c r="J28" s="45">
        <f>I29*Parametres!$D$25</f>
        <v>0.52766265849609384</v>
      </c>
      <c r="K28" s="45">
        <f>J29*Parametres!$D$25</f>
        <v>0.5540457914208986</v>
      </c>
      <c r="L28" s="45">
        <f>K29*Parametres!$D$25</f>
        <v>0.58174808099194353</v>
      </c>
      <c r="M28" s="45">
        <f>L29*Parametres!$D$25</f>
        <v>0.61083548504154084</v>
      </c>
      <c r="N28" s="45">
        <f>M29*Parametres!$D$25</f>
        <v>0.64137725929361789</v>
      </c>
      <c r="O28" s="45">
        <f>N29*Parametres!$D$25</f>
        <v>0.66703234966536262</v>
      </c>
      <c r="P28" s="45">
        <f>O29*Parametres!$D$25</f>
        <v>0.69686294320622577</v>
      </c>
      <c r="Q28" s="45">
        <f>P29*Parametres!$D$25</f>
        <v>0.72802760144641965</v>
      </c>
      <c r="R28" s="45">
        <f>Q29*Parametres!$D$25</f>
        <v>0.76058598557302604</v>
      </c>
      <c r="S28" s="45">
        <f>R29*Parametres!$D$25</f>
        <v>0.79460042490252514</v>
      </c>
      <c r="T28" s="45">
        <f>S29*Parametres!$D$25</f>
        <v>0.83013603620317034</v>
      </c>
      <c r="U28" s="45">
        <f>T29*Parametres!$D$25</f>
        <v>0.86726084835362072</v>
      </c>
      <c r="V28" s="45">
        <f>U29*Parametres!$D$25</f>
        <v>0.90604593257647736</v>
      </c>
      <c r="W28" s="45">
        <f>V29*Parametres!$D$25</f>
        <v>0.94656553849604119</v>
      </c>
      <c r="X28" s="45">
        <f>W29*Parametres!$D$25</f>
        <v>0.9888972362807581</v>
      </c>
      <c r="Y28" s="45">
        <f>X29*Parametres!$D$25</f>
        <v>1.0331220651424668</v>
      </c>
      <c r="Z28" s="45">
        <f>Y29*Parametres!$D$25</f>
        <v>1.0793246884767373</v>
      </c>
      <c r="AA28" s="45">
        <f>Z29*Parametres!$D$25</f>
        <v>1.115526339075154</v>
      </c>
      <c r="AB28" s="45">
        <f>AA29*Parametres!$D$25</f>
        <v>1.15651339395569</v>
      </c>
      <c r="AC28" s="45">
        <f>AB29*Parametres!$D$25</f>
        <v>1.1990064093939774</v>
      </c>
      <c r="AD28" s="45">
        <f>AC29*Parametres!$D$25</f>
        <v>1.2430607179141051</v>
      </c>
      <c r="AE28" s="45">
        <f>AD29*Parametres!$D$25</f>
        <v>1.2887336850869147</v>
      </c>
      <c r="AF28" s="45">
        <f>AE29*Parametres!$D$25</f>
        <v>1.3360847842289081</v>
      </c>
      <c r="AG28" s="45">
        <f>AF29*Parametres!$D$25</f>
        <v>1.385175673845769</v>
      </c>
      <c r="AH28" s="45">
        <f>AG29*Parametres!$D$25</f>
        <v>1.436070277921339</v>
      </c>
      <c r="AI28" s="45">
        <f>AH29*Parametres!$D$25</f>
        <v>1.4888348691566007</v>
      </c>
      <c r="AJ28" s="45">
        <f>AI29*Parametres!$D$25</f>
        <v>1.5435381552670564</v>
      </c>
      <c r="AK28" s="45">
        <f>AJ29*Parametres!$D$25</f>
        <v>1.6002513684508735</v>
      </c>
    </row>
    <row r="29" spans="1:37" x14ac:dyDescent="0.2">
      <c r="A29" s="37" t="s">
        <v>356</v>
      </c>
      <c r="B29" s="94">
        <f>Parametres!$D$24*(1-IF(Parametres!$B$158=1,Parametres!$B$159,0))</f>
        <v>15</v>
      </c>
      <c r="C29" s="94">
        <f>B29*(1+IF(C8=1,0,CHOOSE(C$2,Parametres!$F$51,Parametres!$G$51,Parametres!$H$51)*C7))</f>
        <v>15.75</v>
      </c>
      <c r="D29" s="94">
        <f>C29*(1+IF(D8=1,0,CHOOSE(D$2,Parametres!$F$51,Parametres!$G$51,Parametres!$H$51)*D7))</f>
        <v>16.537500000000001</v>
      </c>
      <c r="E29" s="94">
        <f>D29*(1+IF(E8=1,0,CHOOSE(E$2,Parametres!$F$51,Parametres!$G$51,Parametres!$H$51)*E7))</f>
        <v>17.364375000000003</v>
      </c>
      <c r="F29" s="94">
        <f>E29*(1+IF(F8=1,0,CHOOSE(F$2,Parametres!$F$51,Parametres!$G$51,Parametres!$H$51)*F7))</f>
        <v>18.232593750000003</v>
      </c>
      <c r="G29" s="94">
        <f>F29*(1+IF(G8=1,0,CHOOSE(G$2,Parametres!$F$51,Parametres!$G$51,Parametres!$H$51)*G7))</f>
        <v>19.144223437500003</v>
      </c>
      <c r="H29" s="94">
        <f>G29*(1+IF(H8=1,0,CHOOSE(H$2,Parametres!$F$51,Parametres!$G$51,Parametres!$H$51)*H7))</f>
        <v>20.101434609375005</v>
      </c>
      <c r="I29" s="94">
        <f>H29*(1+IF(I8=1,0,CHOOSE(I$2,Parametres!$F$51,Parametres!$G$51,Parametres!$H$51)*I7))</f>
        <v>21.106506339843754</v>
      </c>
      <c r="J29" s="94">
        <f>I29*(1+IF(J8=1,0,CHOOSE(J$2,Parametres!$F$51,Parametres!$G$51,Parametres!$H$51)*J7))</f>
        <v>22.161831656835943</v>
      </c>
      <c r="K29" s="94">
        <f>J29*(1+IF(K8=1,0,CHOOSE(K$2,Parametres!$F$51,Parametres!$G$51,Parametres!$H$51)*K7))</f>
        <v>23.269923239677741</v>
      </c>
      <c r="L29" s="94">
        <f>K29*(1+IF(L8=1,0,CHOOSE(L$2,Parametres!$F$51,Parametres!$G$51,Parametres!$H$51)*L7))</f>
        <v>24.433419401661631</v>
      </c>
      <c r="M29" s="94">
        <f>L29*(1+IF(M8=1,0,CHOOSE(M$2,Parametres!$F$51,Parametres!$G$51,Parametres!$H$51)*M7))</f>
        <v>25.655090371744713</v>
      </c>
      <c r="N29" s="94">
        <f>M29*(1+IF(N8=1,0,CHOOSE(N$2,Parametres!$F$51,Parametres!$G$51,Parametres!$H$51)*N7))</f>
        <v>26.681293986614502</v>
      </c>
      <c r="O29" s="94">
        <f>N29*(1+IF(O8=1,0,CHOOSE(O$2,Parametres!$F$51,Parametres!$G$51,Parametres!$H$51)*O7))</f>
        <v>27.874517728249028</v>
      </c>
      <c r="P29" s="94">
        <f>O29*(1+IF(P8=1,0,CHOOSE(P$2,Parametres!$F$51,Parametres!$G$51,Parametres!$H$51)*P7))</f>
        <v>29.121104057856783</v>
      </c>
      <c r="Q29" s="94">
        <f>P29*(1+IF(Q8=1,0,CHOOSE(Q$2,Parametres!$F$51,Parametres!$G$51,Parametres!$H$51)*Q7))</f>
        <v>30.423439422921039</v>
      </c>
      <c r="R29" s="94">
        <f>Q29*(1+IF(R8=1,0,CHOOSE(R$2,Parametres!$F$51,Parametres!$G$51,Parametres!$H$51)*R7))</f>
        <v>31.784016996101006</v>
      </c>
      <c r="S29" s="94">
        <f>R29*(1+IF(S8=1,0,CHOOSE(S$2,Parametres!$F$51,Parametres!$G$51,Parametres!$H$51)*S7))</f>
        <v>33.205441448126813</v>
      </c>
      <c r="T29" s="94">
        <f>S29*(1+IF(T8=1,0,CHOOSE(T$2,Parametres!$F$51,Parametres!$G$51,Parametres!$H$51)*T7))</f>
        <v>34.690433934144828</v>
      </c>
      <c r="U29" s="94">
        <f>T29*(1+IF(U8=1,0,CHOOSE(U$2,Parametres!$F$51,Parametres!$G$51,Parametres!$H$51)*U7))</f>
        <v>36.241837303059093</v>
      </c>
      <c r="V29" s="94">
        <f>U29*(1+IF(V8=1,0,CHOOSE(V$2,Parametres!$F$51,Parametres!$G$51,Parametres!$H$51)*V7))</f>
        <v>37.862621539841648</v>
      </c>
      <c r="W29" s="94">
        <f>V29*(1+IF(W8=1,0,CHOOSE(W$2,Parametres!$F$51,Parametres!$G$51,Parametres!$H$51)*W7))</f>
        <v>39.555889451230321</v>
      </c>
      <c r="X29" s="94">
        <f>W29*(1+IF(X8=1,0,CHOOSE(X$2,Parametres!$F$51,Parametres!$G$51,Parametres!$H$51)*X7))</f>
        <v>41.324882605698676</v>
      </c>
      <c r="Y29" s="94">
        <f>X29*(1+IF(Y8=1,0,CHOOSE(Y$2,Parametres!$F$51,Parametres!$G$51,Parametres!$H$51)*Y7))</f>
        <v>43.172987539069496</v>
      </c>
      <c r="Z29" s="94">
        <f>Y29*(1+IF(Z8=1,0,CHOOSE(Z$2,Parametres!$F$51,Parametres!$G$51,Parametres!$H$51)*Z7))</f>
        <v>44.621053563006157</v>
      </c>
      <c r="AA29" s="94">
        <f>Z29*(1+IF(AA8=1,0,CHOOSE(AA$2,Parametres!$F$51,Parametres!$G$51,Parametres!$H$51)*AA7))</f>
        <v>46.260535758227597</v>
      </c>
      <c r="AB29" s="94">
        <f>AA29*(1+IF(AB8=1,0,CHOOSE(AB$2,Parametres!$F$51,Parametres!$G$51,Parametres!$H$51)*AB7))</f>
        <v>47.960256375759094</v>
      </c>
      <c r="AC29" s="94">
        <f>AB29*(1+IF(AC8=1,0,CHOOSE(AC$2,Parametres!$F$51,Parametres!$G$51,Parametres!$H$51)*AC7))</f>
        <v>49.722428716564202</v>
      </c>
      <c r="AD29" s="94">
        <f>AC29*(1+IF(AD8=1,0,CHOOSE(AD$2,Parametres!$F$51,Parametres!$G$51,Parametres!$H$51)*AD7))</f>
        <v>51.549347403476581</v>
      </c>
      <c r="AE29" s="94">
        <f>AD29*(1+IF(AE8=1,0,CHOOSE(AE$2,Parametres!$F$51,Parametres!$G$51,Parametres!$H$51)*AE7))</f>
        <v>53.443391369156323</v>
      </c>
      <c r="AF29" s="94">
        <f>AE29*(1+IF(AF8=1,0,CHOOSE(AF$2,Parametres!$F$51,Parametres!$G$51,Parametres!$H$51)*AF7))</f>
        <v>55.407026953830758</v>
      </c>
      <c r="AG29" s="94">
        <f>AF29*(1+IF(AG8=1,0,CHOOSE(AG$2,Parametres!$F$51,Parametres!$G$51,Parametres!$H$51)*AG7))</f>
        <v>57.442811116853555</v>
      </c>
      <c r="AH29" s="94">
        <f>AG29*(1+IF(AH8=1,0,CHOOSE(AH$2,Parametres!$F$51,Parametres!$G$51,Parametres!$H$51)*AH7))</f>
        <v>59.553394766264027</v>
      </c>
      <c r="AI29" s="94">
        <f>AH29*(1+IF(AI8=1,0,CHOOSE(AI$2,Parametres!$F$51,Parametres!$G$51,Parametres!$H$51)*AI7))</f>
        <v>61.741526210682252</v>
      </c>
      <c r="AJ29" s="94">
        <f>AI29*(1+IF(AJ8=1,0,CHOOSE(AJ$2,Parametres!$F$51,Parametres!$G$51,Parametres!$H$51)*AJ7))</f>
        <v>64.010054738034938</v>
      </c>
      <c r="AK29" s="94">
        <f>AJ29*(1+IF(AK8=1,0,CHOOSE(AK$2,Parametres!$F$51,Parametres!$G$51,Parametres!$H$51)*AK7))</f>
        <v>66.36193432577204</v>
      </c>
    </row>
    <row r="30" spans="1:37" x14ac:dyDescent="0.2">
      <c r="A30" s="39" t="s">
        <v>357</v>
      </c>
      <c r="B30" s="58">
        <f>Parametres!$D$23*(1+Parametres!$D$45)^(B$2-1)</f>
        <v>64000</v>
      </c>
      <c r="C30" s="58">
        <f>Parametres!$D$23*(1+Parametres!$D$45)^(C$2-1)</f>
        <v>64000</v>
      </c>
      <c r="D30" s="58">
        <f>Parametres!$D$23*(1+Parametres!$D$45)^(D$2-1)</f>
        <v>64000</v>
      </c>
      <c r="E30" s="58">
        <f>Parametres!$D$23*(1+Parametres!$D$45)^(E$2-1)</f>
        <v>64000</v>
      </c>
      <c r="F30" s="58">
        <f>Parametres!$D$23*(1+Parametres!$D$45)^(F$2-1)</f>
        <v>64000</v>
      </c>
      <c r="G30" s="58">
        <f>Parametres!$D$23*(1+Parametres!$D$45)^(G$2-1)</f>
        <v>64000</v>
      </c>
      <c r="H30" s="58">
        <f>Parametres!$D$23*(1+Parametres!$D$45)^(H$2-1)</f>
        <v>64000</v>
      </c>
      <c r="I30" s="58">
        <f>Parametres!$D$23*(1+Parametres!$D$45)^(I$2-1)</f>
        <v>64000</v>
      </c>
      <c r="J30" s="58">
        <f>Parametres!$D$23*(1+Parametres!$D$45)^(J$2-1)</f>
        <v>64000</v>
      </c>
      <c r="K30" s="58">
        <f>Parametres!$D$23*(1+Parametres!$D$45)^(K$2-1)</f>
        <v>64000</v>
      </c>
      <c r="L30" s="58">
        <f>Parametres!$D$23*(1+Parametres!$D$45)^(L$2-1)</f>
        <v>64000</v>
      </c>
      <c r="M30" s="58">
        <f>Parametres!$D$23*(1+Parametres!$D$45)^(M$2-1)</f>
        <v>64000</v>
      </c>
      <c r="N30" s="58">
        <f>Parametres!$D$23*(1+Parametres!$D$45)^(N$2-1)</f>
        <v>69120</v>
      </c>
      <c r="O30" s="58">
        <f>Parametres!$D$23*(1+Parametres!$D$45)^(O$2-1)</f>
        <v>69120</v>
      </c>
      <c r="P30" s="58">
        <f>Parametres!$D$23*(1+Parametres!$D$45)^(P$2-1)</f>
        <v>69120</v>
      </c>
      <c r="Q30" s="58">
        <f>Parametres!$D$23*(1+Parametres!$D$45)^(Q$2-1)</f>
        <v>69120</v>
      </c>
      <c r="R30" s="58">
        <f>Parametres!$D$23*(1+Parametres!$D$45)^(R$2-1)</f>
        <v>69120</v>
      </c>
      <c r="S30" s="58">
        <f>Parametres!$D$23*(1+Parametres!$D$45)^(S$2-1)</f>
        <v>69120</v>
      </c>
      <c r="T30" s="58">
        <f>Parametres!$D$23*(1+Parametres!$D$45)^(T$2-1)</f>
        <v>69120</v>
      </c>
      <c r="U30" s="58">
        <f>Parametres!$D$23*(1+Parametres!$D$45)^(U$2-1)</f>
        <v>69120</v>
      </c>
      <c r="V30" s="58">
        <f>Parametres!$D$23*(1+Parametres!$D$45)^(V$2-1)</f>
        <v>69120</v>
      </c>
      <c r="W30" s="58">
        <f>Parametres!$D$23*(1+Parametres!$D$45)^(W$2-1)</f>
        <v>69120</v>
      </c>
      <c r="X30" s="58">
        <f>Parametres!$D$23*(1+Parametres!$D$45)^(X$2-1)</f>
        <v>69120</v>
      </c>
      <c r="Y30" s="58">
        <f>Parametres!$D$23*(1+Parametres!$D$45)^(Y$2-1)</f>
        <v>69120</v>
      </c>
      <c r="Z30" s="58">
        <f>Parametres!$D$23*(1+Parametres!$D$45)^(Z$2-1)</f>
        <v>74649.600000000006</v>
      </c>
      <c r="AA30" s="58">
        <f>Parametres!$D$23*(1+Parametres!$D$45)^(AA$2-1)</f>
        <v>74649.600000000006</v>
      </c>
      <c r="AB30" s="58">
        <f>Parametres!$D$23*(1+Parametres!$D$45)^(AB$2-1)</f>
        <v>74649.600000000006</v>
      </c>
      <c r="AC30" s="58">
        <f>Parametres!$D$23*(1+Parametres!$D$45)^(AC$2-1)</f>
        <v>74649.600000000006</v>
      </c>
      <c r="AD30" s="58">
        <f>Parametres!$D$23*(1+Parametres!$D$45)^(AD$2-1)</f>
        <v>74649.600000000006</v>
      </c>
      <c r="AE30" s="58">
        <f>Parametres!$D$23*(1+Parametres!$D$45)^(AE$2-1)</f>
        <v>74649.600000000006</v>
      </c>
      <c r="AF30" s="58">
        <f>Parametres!$D$23*(1+Parametres!$D$45)^(AF$2-1)</f>
        <v>74649.600000000006</v>
      </c>
      <c r="AG30" s="58">
        <f>Parametres!$D$23*(1+Parametres!$D$45)^(AG$2-1)</f>
        <v>74649.600000000006</v>
      </c>
      <c r="AH30" s="58">
        <f>Parametres!$D$23*(1+Parametres!$D$45)^(AH$2-1)</f>
        <v>74649.600000000006</v>
      </c>
      <c r="AI30" s="58">
        <f>Parametres!$D$23*(1+Parametres!$D$45)^(AI$2-1)</f>
        <v>74649.600000000006</v>
      </c>
      <c r="AJ30" s="58">
        <f>Parametres!$D$23*(1+Parametres!$D$45)^(AJ$2-1)</f>
        <v>74649.600000000006</v>
      </c>
      <c r="AK30" s="58">
        <f>Parametres!$D$23*(1+Parametres!$D$45)^(AK$2-1)</f>
        <v>74649.600000000006</v>
      </c>
    </row>
    <row r="31" spans="1:37" x14ac:dyDescent="0.2">
      <c r="A31" s="37" t="s">
        <v>358</v>
      </c>
      <c r="B31" s="95">
        <f t="shared" ref="B31:AK31" si="5">B29*B30</f>
        <v>960000</v>
      </c>
      <c r="C31" s="95">
        <f t="shared" si="5"/>
        <v>1008000</v>
      </c>
      <c r="D31" s="95">
        <f t="shared" si="5"/>
        <v>1058400</v>
      </c>
      <c r="E31" s="95">
        <f t="shared" si="5"/>
        <v>1111320.0000000002</v>
      </c>
      <c r="F31" s="95">
        <f t="shared" si="5"/>
        <v>1166886.0000000002</v>
      </c>
      <c r="G31" s="95">
        <f t="shared" si="5"/>
        <v>1225230.3000000003</v>
      </c>
      <c r="H31" s="95">
        <f t="shared" si="5"/>
        <v>1286491.8150000004</v>
      </c>
      <c r="I31" s="95">
        <f t="shared" si="5"/>
        <v>1350816.4057500004</v>
      </c>
      <c r="J31" s="95">
        <f t="shared" si="5"/>
        <v>1418357.2260375004</v>
      </c>
      <c r="K31" s="95">
        <f t="shared" si="5"/>
        <v>1489275.0873393754</v>
      </c>
      <c r="L31" s="95">
        <f t="shared" si="5"/>
        <v>1563738.8417063444</v>
      </c>
      <c r="M31" s="95">
        <f t="shared" si="5"/>
        <v>1641925.7837916617</v>
      </c>
      <c r="N31" s="95">
        <f t="shared" si="5"/>
        <v>1844211.0403547944</v>
      </c>
      <c r="O31" s="95">
        <f t="shared" si="5"/>
        <v>1926686.6653765729</v>
      </c>
      <c r="P31" s="95">
        <f t="shared" si="5"/>
        <v>2012850.7124790607</v>
      </c>
      <c r="Q31" s="95">
        <f t="shared" si="5"/>
        <v>2102868.1329123024</v>
      </c>
      <c r="R31" s="95">
        <f t="shared" si="5"/>
        <v>2196911.2547705015</v>
      </c>
      <c r="S31" s="95">
        <f t="shared" si="5"/>
        <v>2295160.1128945253</v>
      </c>
      <c r="T31" s="95">
        <f t="shared" si="5"/>
        <v>2397802.7935280907</v>
      </c>
      <c r="U31" s="95">
        <f t="shared" si="5"/>
        <v>2505035.7943874444</v>
      </c>
      <c r="V31" s="95">
        <f t="shared" si="5"/>
        <v>2617064.4008338549</v>
      </c>
      <c r="W31" s="95">
        <f t="shared" si="5"/>
        <v>2734103.0788690397</v>
      </c>
      <c r="X31" s="95">
        <f t="shared" si="5"/>
        <v>2856375.8857058925</v>
      </c>
      <c r="Y31" s="95">
        <f t="shared" si="5"/>
        <v>2984116.8987004836</v>
      </c>
      <c r="Z31" s="95">
        <f t="shared" si="5"/>
        <v>3330943.8000569846</v>
      </c>
      <c r="AA31" s="95">
        <f t="shared" si="5"/>
        <v>3453330.4901373871</v>
      </c>
      <c r="AB31" s="95">
        <f t="shared" si="5"/>
        <v>3580213.9543478666</v>
      </c>
      <c r="AC31" s="95">
        <f t="shared" si="5"/>
        <v>3711759.4147200314</v>
      </c>
      <c r="AD31" s="95">
        <f t="shared" si="5"/>
        <v>3848138.1639305656</v>
      </c>
      <c r="AE31" s="95">
        <f t="shared" si="5"/>
        <v>3989527.7883509723</v>
      </c>
      <c r="AF31" s="95">
        <f t="shared" si="5"/>
        <v>4136112.3992926851</v>
      </c>
      <c r="AG31" s="95">
        <f t="shared" si="5"/>
        <v>4288082.8727486711</v>
      </c>
      <c r="AH31" s="95">
        <f t="shared" si="5"/>
        <v>4445637.0979437036</v>
      </c>
      <c r="AI31" s="95">
        <f t="shared" si="5"/>
        <v>4608980.2350169467</v>
      </c>
      <c r="AJ31" s="95">
        <f t="shared" si="5"/>
        <v>4778324.9821724137</v>
      </c>
      <c r="AK31" s="95">
        <f t="shared" si="5"/>
        <v>4953891.8526451532</v>
      </c>
    </row>
    <row r="32" spans="1:37" x14ac:dyDescent="0.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</row>
    <row r="33" spans="1:37" ht="18" customHeight="1" x14ac:dyDescent="0.2">
      <c r="A33" s="40" t="s">
        <v>359</v>
      </c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</row>
    <row r="34" spans="1:37" x14ac:dyDescent="0.2">
      <c r="A34" s="39" t="s">
        <v>360</v>
      </c>
      <c r="B34" s="45">
        <f>Parametres!$D$86*(1-IF(Parametres!$B$158=1,Parametres!$B$159,0))</f>
        <v>8</v>
      </c>
      <c r="C34" s="45">
        <f>IF(B70=1,Parametres!$D$88,Parametres!$D$87)</f>
        <v>1</v>
      </c>
      <c r="D34" s="45">
        <f>IF(C70=1,Parametres!$D$88,Parametres!$D$87)</f>
        <v>1</v>
      </c>
      <c r="E34" s="45">
        <f>IF(D70=1,Parametres!$D$88,Parametres!$D$87)</f>
        <v>1</v>
      </c>
      <c r="F34" s="45">
        <f>IF(E70=1,Parametres!$D$88,Parametres!$D$87)</f>
        <v>1</v>
      </c>
      <c r="G34" s="45">
        <f>IF(F70=1,Parametres!$D$88,Parametres!$D$87)</f>
        <v>1</v>
      </c>
      <c r="H34" s="45">
        <f>IF(G70=1,Parametres!$D$88,Parametres!$D$87)</f>
        <v>1</v>
      </c>
      <c r="I34" s="45">
        <f>IF(H70=1,Parametres!$D$88,Parametres!$D$87)</f>
        <v>1</v>
      </c>
      <c r="J34" s="45">
        <f>IF(I70=1,Parametres!$D$88,Parametres!$D$87)</f>
        <v>1</v>
      </c>
      <c r="K34" s="45">
        <f>IF(J70=1,Parametres!$D$88,Parametres!$D$87)</f>
        <v>1</v>
      </c>
      <c r="L34" s="45">
        <f>IF(K70=1,Parametres!$D$88,Parametres!$D$87)</f>
        <v>1</v>
      </c>
      <c r="M34" s="45">
        <f>IF(L70=1,Parametres!$D$88,Parametres!$D$87)</f>
        <v>1</v>
      </c>
      <c r="N34" s="45">
        <f>IF(M70=1,Parametres!$D$88,Parametres!$D$87)</f>
        <v>1</v>
      </c>
      <c r="O34" s="45">
        <f>IF(N70=1,Parametres!$D$88,Parametres!$D$87)</f>
        <v>1</v>
      </c>
      <c r="P34" s="45">
        <f>IF(O70=1,Parametres!$D$88,Parametres!$D$87)</f>
        <v>1</v>
      </c>
      <c r="Q34" s="45">
        <f>IF(P70=1,Parametres!$D$88,Parametres!$D$87)</f>
        <v>1</v>
      </c>
      <c r="R34" s="45">
        <f>IF(Q70=1,Parametres!$D$88,Parametres!$D$87)</f>
        <v>1</v>
      </c>
      <c r="S34" s="45">
        <f>IF(R70=1,Parametres!$D$88,Parametres!$D$87)</f>
        <v>1</v>
      </c>
      <c r="T34" s="45">
        <f>IF(S70=1,Parametres!$D$88,Parametres!$D$87)</f>
        <v>1</v>
      </c>
      <c r="U34" s="45">
        <f>IF(T70=1,Parametres!$D$88,Parametres!$D$87)</f>
        <v>1</v>
      </c>
      <c r="V34" s="45">
        <f>IF(U70=1,Parametres!$D$88,Parametres!$D$87)</f>
        <v>1</v>
      </c>
      <c r="W34" s="45">
        <f>IF(V70=1,Parametres!$D$88,Parametres!$D$87)</f>
        <v>1</v>
      </c>
      <c r="X34" s="45">
        <f>IF(W70=1,Parametres!$D$88,Parametres!$D$87)</f>
        <v>1</v>
      </c>
      <c r="Y34" s="45">
        <f>IF(X70=1,Parametres!$D$88,Parametres!$D$87)</f>
        <v>1</v>
      </c>
      <c r="Z34" s="45">
        <f>IF(Y70=1,Parametres!$D$88,Parametres!$D$87)</f>
        <v>1</v>
      </c>
      <c r="AA34" s="45">
        <f>IF(Z70=1,Parametres!$D$88,Parametres!$D$87)</f>
        <v>2</v>
      </c>
      <c r="AB34" s="45">
        <f>IF(AA70=1,Parametres!$D$88,Parametres!$D$87)</f>
        <v>2</v>
      </c>
      <c r="AC34" s="45">
        <f>IF(AB70=1,Parametres!$D$88,Parametres!$D$87)</f>
        <v>2</v>
      </c>
      <c r="AD34" s="45">
        <f>IF(AC70=1,Parametres!$D$88,Parametres!$D$87)</f>
        <v>2</v>
      </c>
      <c r="AE34" s="45">
        <f>IF(AD70=1,Parametres!$D$88,Parametres!$D$87)</f>
        <v>2</v>
      </c>
      <c r="AF34" s="45">
        <f>IF(AE70=1,Parametres!$D$88,Parametres!$D$87)</f>
        <v>2</v>
      </c>
      <c r="AG34" s="45">
        <f>IF(AF70=1,Parametres!$D$88,Parametres!$D$87)</f>
        <v>2</v>
      </c>
      <c r="AH34" s="45">
        <f>IF(AG70=1,Parametres!$D$88,Parametres!$D$87)</f>
        <v>2</v>
      </c>
      <c r="AI34" s="45">
        <f>IF(AH70=1,Parametres!$D$88,Parametres!$D$87)</f>
        <v>2</v>
      </c>
      <c r="AJ34" s="45">
        <f>IF(AI70=1,Parametres!$D$88,Parametres!$D$87)</f>
        <v>2</v>
      </c>
      <c r="AK34" s="45">
        <f>IF(AJ70=1,Parametres!$D$88,Parametres!$D$87)</f>
        <v>2</v>
      </c>
    </row>
    <row r="35" spans="1:37" x14ac:dyDescent="0.2">
      <c r="A35" s="39" t="s">
        <v>361</v>
      </c>
      <c r="B35" s="92">
        <f>0</f>
        <v>0</v>
      </c>
      <c r="C35" s="45">
        <f>B36*Parametres!$D$89</f>
        <v>0.16</v>
      </c>
      <c r="D35" s="45">
        <f>C36*Parametres!$D$89</f>
        <v>0.17680000000000001</v>
      </c>
      <c r="E35" s="45">
        <f>D36*Parametres!$D$89</f>
        <v>0.19326399999999999</v>
      </c>
      <c r="F35" s="45">
        <f>E36*Parametres!$D$89</f>
        <v>0.20939871999999998</v>
      </c>
      <c r="G35" s="45">
        <f>F36*Parametres!$D$89</f>
        <v>0.22521074559999998</v>
      </c>
      <c r="H35" s="45">
        <f>G36*Parametres!$D$89</f>
        <v>0.24070653068799999</v>
      </c>
      <c r="I35" s="45">
        <f>H36*Parametres!$D$89</f>
        <v>0.25589240007424002</v>
      </c>
      <c r="J35" s="45">
        <f>I36*Parametres!$D$89</f>
        <v>0.27077455207275519</v>
      </c>
      <c r="K35" s="45">
        <f>J36*Parametres!$D$89</f>
        <v>0.2853590610313001</v>
      </c>
      <c r="L35" s="45">
        <f>K36*Parametres!$D$89</f>
        <v>0.29965187981067409</v>
      </c>
      <c r="M35" s="45">
        <f>L36*Parametres!$D$89</f>
        <v>0.31365884221446061</v>
      </c>
      <c r="N35" s="45">
        <f>M36*Parametres!$D$89</f>
        <v>0.32738566537017139</v>
      </c>
      <c r="O35" s="45">
        <f>N36*Parametres!$D$89</f>
        <v>0.3408379520627679</v>
      </c>
      <c r="P35" s="45">
        <f>O36*Parametres!$D$89</f>
        <v>0.35402119302151258</v>
      </c>
      <c r="Q35" s="45">
        <f>P36*Parametres!$D$89</f>
        <v>0.36694076916108231</v>
      </c>
      <c r="R35" s="45">
        <f>Q36*Parametres!$D$89</f>
        <v>0.37960195377786066</v>
      </c>
      <c r="S35" s="45">
        <f>R36*Parametres!$D$89</f>
        <v>0.39200991470230345</v>
      </c>
      <c r="T35" s="45">
        <f>S36*Parametres!$D$89</f>
        <v>0.40416971640825738</v>
      </c>
      <c r="U35" s="45">
        <f>T36*Parametres!$D$89</f>
        <v>0.41608632208009222</v>
      </c>
      <c r="V35" s="45">
        <f>U36*Parametres!$D$89</f>
        <v>0.42776459563849034</v>
      </c>
      <c r="W35" s="45">
        <f>V36*Parametres!$D$89</f>
        <v>0.43920930372572053</v>
      </c>
      <c r="X35" s="45">
        <f>W36*Parametres!$D$89</f>
        <v>0.45042511765120608</v>
      </c>
      <c r="Y35" s="45">
        <f>X36*Parametres!$D$89</f>
        <v>0.46141661529818195</v>
      </c>
      <c r="Z35" s="45">
        <f>Y36*Parametres!$D$89</f>
        <v>0.47218828299221827</v>
      </c>
      <c r="AA35" s="45">
        <f>Z36*Parametres!$D$89</f>
        <v>0.48274451733237395</v>
      </c>
      <c r="AB35" s="45">
        <f>AA36*Parametres!$D$89</f>
        <v>0.51308962698572647</v>
      </c>
      <c r="AC35" s="45">
        <f>AB36*Parametres!$D$89</f>
        <v>0.5428278344460119</v>
      </c>
      <c r="AD35" s="45">
        <f>AC36*Parametres!$D$89</f>
        <v>0.57197127775709167</v>
      </c>
      <c r="AE35" s="45">
        <f>AD36*Parametres!$D$89</f>
        <v>0.60053185220194982</v>
      </c>
      <c r="AF35" s="45">
        <f>AE36*Parametres!$D$89</f>
        <v>0.62852121515791082</v>
      </c>
      <c r="AG35" s="45">
        <f>AF36*Parametres!$D$89</f>
        <v>0.6559507908547525</v>
      </c>
      <c r="AH35" s="45">
        <f>AG36*Parametres!$D$89</f>
        <v>0.68283177503765746</v>
      </c>
      <c r="AI35" s="45">
        <f>AH36*Parametres!$D$89</f>
        <v>0.70917513953690436</v>
      </c>
      <c r="AJ35" s="45">
        <f>AI36*Parametres!$D$89</f>
        <v>0.7349916367461663</v>
      </c>
      <c r="AK35" s="45">
        <f>AJ36*Parametres!$D$89</f>
        <v>0.76029180401124297</v>
      </c>
    </row>
    <row r="36" spans="1:37" x14ac:dyDescent="0.2">
      <c r="A36" s="37" t="s">
        <v>362</v>
      </c>
      <c r="B36" s="93">
        <f>B34</f>
        <v>8</v>
      </c>
      <c r="C36" s="94">
        <f>B36*(1-Parametres!$D$89)+C34</f>
        <v>8.84</v>
      </c>
      <c r="D36" s="94">
        <f>C36*(1-Parametres!$D$89)+D34</f>
        <v>9.6631999999999998</v>
      </c>
      <c r="E36" s="94">
        <f>D36*(1-Parametres!$D$89)+E34</f>
        <v>10.469935999999999</v>
      </c>
      <c r="F36" s="94">
        <f>E36*(1-Parametres!$D$89)+F34</f>
        <v>11.260537279999999</v>
      </c>
      <c r="G36" s="94">
        <f>F36*(1-Parametres!$D$89)+G34</f>
        <v>12.035326534399999</v>
      </c>
      <c r="H36" s="94">
        <f>G36*(1-Parametres!$D$89)+H34</f>
        <v>12.794620003712</v>
      </c>
      <c r="I36" s="94">
        <f>H36*(1-Parametres!$D$89)+I34</f>
        <v>13.53872760363776</v>
      </c>
      <c r="J36" s="94">
        <f>I36*(1-Parametres!$D$89)+J34</f>
        <v>14.267953051565005</v>
      </c>
      <c r="K36" s="94">
        <f>J36*(1-Parametres!$D$89)+K34</f>
        <v>14.982593990533704</v>
      </c>
      <c r="L36" s="94">
        <f>K36*(1-Parametres!$D$89)+L34</f>
        <v>15.68294211072303</v>
      </c>
      <c r="M36" s="94">
        <f>L36*(1-Parametres!$D$89)+M34</f>
        <v>16.369283268508568</v>
      </c>
      <c r="N36" s="94">
        <f>M36*(1-Parametres!$D$89)+N34</f>
        <v>17.041897603138395</v>
      </c>
      <c r="O36" s="94">
        <f>N36*(1-Parametres!$D$89)+O34</f>
        <v>17.701059651075628</v>
      </c>
      <c r="P36" s="94">
        <f>O36*(1-Parametres!$D$89)+P34</f>
        <v>18.347038458054115</v>
      </c>
      <c r="Q36" s="94">
        <f>P36*(1-Parametres!$D$89)+Q34</f>
        <v>18.980097688893032</v>
      </c>
      <c r="R36" s="94">
        <f>Q36*(1-Parametres!$D$89)+R34</f>
        <v>19.600495735115171</v>
      </c>
      <c r="S36" s="94">
        <f>R36*(1-Parametres!$D$89)+S34</f>
        <v>20.208485820412868</v>
      </c>
      <c r="T36" s="94">
        <f>S36*(1-Parametres!$D$89)+T34</f>
        <v>20.804316104004609</v>
      </c>
      <c r="U36" s="94">
        <f>T36*(1-Parametres!$D$89)+U34</f>
        <v>21.388229781924515</v>
      </c>
      <c r="V36" s="94">
        <f>U36*(1-Parametres!$D$89)+V34</f>
        <v>21.960465186286026</v>
      </c>
      <c r="W36" s="94">
        <f>V36*(1-Parametres!$D$89)+W34</f>
        <v>22.521255882560304</v>
      </c>
      <c r="X36" s="94">
        <f>W36*(1-Parametres!$D$89)+X34</f>
        <v>23.070830764909097</v>
      </c>
      <c r="Y36" s="94">
        <f>X36*(1-Parametres!$D$89)+Y34</f>
        <v>23.609414149610913</v>
      </c>
      <c r="Z36" s="94">
        <f>Y36*(1-Parametres!$D$89)+Z34</f>
        <v>24.137225866618696</v>
      </c>
      <c r="AA36" s="94">
        <f>Z36*(1-Parametres!$D$89)+AA34</f>
        <v>25.654481349286321</v>
      </c>
      <c r="AB36" s="94">
        <f>AA36*(1-Parametres!$D$89)+AB34</f>
        <v>27.141391722300593</v>
      </c>
      <c r="AC36" s="94">
        <f>AB36*(1-Parametres!$D$89)+AC34</f>
        <v>28.598563887854581</v>
      </c>
      <c r="AD36" s="94">
        <f>AC36*(1-Parametres!$D$89)+AD34</f>
        <v>30.026592610097488</v>
      </c>
      <c r="AE36" s="94">
        <f>AD36*(1-Parametres!$D$89)+AE34</f>
        <v>31.426060757895538</v>
      </c>
      <c r="AF36" s="94">
        <f>AE36*(1-Parametres!$D$89)+AF34</f>
        <v>32.797539542737624</v>
      </c>
      <c r="AG36" s="94">
        <f>AF36*(1-Parametres!$D$89)+AG34</f>
        <v>34.141588751882871</v>
      </c>
      <c r="AH36" s="94">
        <f>AG36*(1-Parametres!$D$89)+AH34</f>
        <v>35.458756976845216</v>
      </c>
      <c r="AI36" s="94">
        <f>AH36*(1-Parametres!$D$89)+AI34</f>
        <v>36.749581837308313</v>
      </c>
      <c r="AJ36" s="94">
        <f>AI36*(1-Parametres!$D$89)+AJ34</f>
        <v>38.014590200562147</v>
      </c>
      <c r="AK36" s="94">
        <f>AJ36*(1-Parametres!$D$89)+AK34</f>
        <v>39.254298396550901</v>
      </c>
    </row>
    <row r="37" spans="1:37" x14ac:dyDescent="0.2">
      <c r="A37" s="39" t="s">
        <v>342</v>
      </c>
      <c r="B37" s="45">
        <f>B36*Parametres!$D$90*Parametres!$D$95</f>
        <v>25.6</v>
      </c>
      <c r="C37" s="45">
        <f>C36*Parametres!$D$90*Parametres!$D$95</f>
        <v>28.288</v>
      </c>
      <c r="D37" s="45">
        <f>D36*Parametres!$D$90*Parametres!$D$95</f>
        <v>30.922240000000002</v>
      </c>
      <c r="E37" s="45">
        <f>E36*Parametres!$D$90*Parametres!$D$95</f>
        <v>33.503795199999999</v>
      </c>
      <c r="F37" s="45">
        <f>F36*Parametres!$D$90*Parametres!$D$95</f>
        <v>36.033719296000001</v>
      </c>
      <c r="G37" s="45">
        <f>G36*Parametres!$D$90*Parametres!$D$95</f>
        <v>38.513044910079998</v>
      </c>
      <c r="H37" s="45">
        <f>H36*Parametres!$D$90*Parametres!$D$95</f>
        <v>40.942784011878402</v>
      </c>
      <c r="I37" s="45">
        <f>I36*Parametres!$D$90*Parametres!$D$95</f>
        <v>43.323928331640836</v>
      </c>
      <c r="J37" s="45">
        <f>J36*Parametres!$D$90*Parametres!$D$95</f>
        <v>45.657449765008018</v>
      </c>
      <c r="K37" s="45">
        <f>K36*Parametres!$D$90*Parametres!$D$95</f>
        <v>47.944300769707858</v>
      </c>
      <c r="L37" s="45">
        <f>L36*Parametres!$D$90*Parametres!$D$95</f>
        <v>50.185414754313697</v>
      </c>
      <c r="M37" s="45">
        <f>M36*Parametres!$D$90*Parametres!$D$95</f>
        <v>52.381706459227416</v>
      </c>
      <c r="N37" s="45">
        <f>N36*Parametres!$D$90*Parametres!$D$95</f>
        <v>54.534072330042868</v>
      </c>
      <c r="O37" s="45">
        <f>O36*Parametres!$D$90*Parametres!$D$95</f>
        <v>56.643390883442009</v>
      </c>
      <c r="P37" s="45">
        <f>P36*Parametres!$D$90*Parametres!$D$95</f>
        <v>58.710523065773174</v>
      </c>
      <c r="Q37" s="45">
        <f>Q36*Parametres!$D$90*Parametres!$D$95</f>
        <v>60.736312604457709</v>
      </c>
      <c r="R37" s="45">
        <f>R36*Parametres!$D$90*Parametres!$D$95</f>
        <v>62.721586352368547</v>
      </c>
      <c r="S37" s="45">
        <f>S36*Parametres!$D$90*Parametres!$D$95</f>
        <v>64.667154625321174</v>
      </c>
      <c r="T37" s="45">
        <f>T36*Parametres!$D$90*Parametres!$D$95</f>
        <v>66.573811532814759</v>
      </c>
      <c r="U37" s="45">
        <f>U36*Parametres!$D$90*Parametres!$D$95</f>
        <v>68.442335302158455</v>
      </c>
      <c r="V37" s="45">
        <f>V36*Parametres!$D$90*Parametres!$D$95</f>
        <v>70.273488596115286</v>
      </c>
      <c r="W37" s="45">
        <f>W36*Parametres!$D$90*Parametres!$D$95</f>
        <v>72.068018824192976</v>
      </c>
      <c r="X37" s="45">
        <f>X36*Parametres!$D$90*Parametres!$D$95</f>
        <v>73.826658447709107</v>
      </c>
      <c r="Y37" s="45">
        <f>Y36*Parametres!$D$90*Parametres!$D$95</f>
        <v>75.550125278754919</v>
      </c>
      <c r="Z37" s="45">
        <f>Z36*Parametres!$D$90*Parametres!$D$95</f>
        <v>77.23912277317983</v>
      </c>
      <c r="AA37" s="45">
        <f>AA36*Parametres!$D$90*Parametres!$D$95</f>
        <v>82.094340317716231</v>
      </c>
      <c r="AB37" s="45">
        <f>AB36*Parametres!$D$90*Parametres!$D$95</f>
        <v>86.852453511361901</v>
      </c>
      <c r="AC37" s="45">
        <f>AC36*Parametres!$D$90*Parametres!$D$95</f>
        <v>91.515404441134663</v>
      </c>
      <c r="AD37" s="45">
        <f>AD36*Parametres!$D$90*Parametres!$D$95</f>
        <v>96.085096352311965</v>
      </c>
      <c r="AE37" s="45">
        <f>AE36*Parametres!$D$90*Parametres!$D$95</f>
        <v>100.56339442526573</v>
      </c>
      <c r="AF37" s="45">
        <f>AF36*Parametres!$D$90*Parametres!$D$95</f>
        <v>104.9521265367604</v>
      </c>
      <c r="AG37" s="45">
        <f>AG36*Parametres!$D$90*Parametres!$D$95</f>
        <v>109.25308400602519</v>
      </c>
      <c r="AH37" s="45">
        <f>AH36*Parametres!$D$90*Parametres!$D$95</f>
        <v>113.4680223259047</v>
      </c>
      <c r="AI37" s="45">
        <f>AI36*Parametres!$D$90*Parametres!$D$95</f>
        <v>117.59866187938661</v>
      </c>
      <c r="AJ37" s="45">
        <f>AJ36*Parametres!$D$90*Parametres!$D$95</f>
        <v>121.64668864179887</v>
      </c>
      <c r="AK37" s="45">
        <f>AK36*Parametres!$D$90*Parametres!$D$95</f>
        <v>125.61375486896289</v>
      </c>
    </row>
    <row r="38" spans="1:37" x14ac:dyDescent="0.2">
      <c r="A38" s="39" t="s">
        <v>363</v>
      </c>
      <c r="B38" s="45">
        <f>Parametres!$D$29*(1-IF(Parametres!$B$158=1,Parametres!$B$159,0))</f>
        <v>15</v>
      </c>
      <c r="C38" s="45">
        <f>B38*(1+IF(C8=1,0,IF(AND(C$2&gt;=2,B70=0),Parametres!$D$59,CHOOSE(C$2,Parametres!$F$53,Parametres!$G$53,Parametres!$H$53))*C7))</f>
        <v>15.27</v>
      </c>
      <c r="D38" s="45">
        <f>C38*(1+IF(D8=1,0,IF(AND(D$2&gt;=2,C70=0),Parametres!$D$59,CHOOSE(D$2,Parametres!$F$53,Parametres!$G$53,Parametres!$H$53))*D7))</f>
        <v>15.54486</v>
      </c>
      <c r="E38" s="45">
        <f>D38*(1+IF(E8=1,0,IF(AND(E$2&gt;=2,D70=0),Parametres!$D$59,CHOOSE(E$2,Parametres!$F$53,Parametres!$G$53,Parametres!$H$53))*E7))</f>
        <v>15.82466748</v>
      </c>
      <c r="F38" s="45">
        <f>E38*(1+IF(F8=1,0,IF(AND(F$2&gt;=2,E70=0),Parametres!$D$59,CHOOSE(F$2,Parametres!$F$53,Parametres!$G$53,Parametres!$H$53))*F7))</f>
        <v>16.10951149464</v>
      </c>
      <c r="G38" s="45">
        <f>F38*(1+IF(G8=1,0,IF(AND(G$2&gt;=2,F70=0),Parametres!$D$59,CHOOSE(G$2,Parametres!$F$53,Parametres!$G$53,Parametres!$H$53))*G7))</f>
        <v>16.399482701543519</v>
      </c>
      <c r="H38" s="45">
        <f>G38*(1+IF(H8=1,0,IF(AND(H$2&gt;=2,G70=0),Parametres!$D$59,CHOOSE(H$2,Parametres!$F$53,Parametres!$G$53,Parametres!$H$53))*H7))</f>
        <v>16.694673390171303</v>
      </c>
      <c r="I38" s="45">
        <f>H38*(1+IF(I8=1,0,IF(AND(I$2&gt;=2,H70=0),Parametres!$D$59,CHOOSE(I$2,Parametres!$F$53,Parametres!$G$53,Parametres!$H$53))*I7))</f>
        <v>16.995177511194388</v>
      </c>
      <c r="J38" s="45">
        <f>I38*(1+IF(J8=1,0,IF(AND(J$2&gt;=2,I70=0),Parametres!$D$59,CHOOSE(J$2,Parametres!$F$53,Parametres!$G$53,Parametres!$H$53))*J7))</f>
        <v>17.301090706395886</v>
      </c>
      <c r="K38" s="45">
        <f>J38*(1+IF(K8=1,0,IF(AND(K$2&gt;=2,J70=0),Parametres!$D$59,CHOOSE(K$2,Parametres!$F$53,Parametres!$G$53,Parametres!$H$53))*K7))</f>
        <v>17.612510339111012</v>
      </c>
      <c r="L38" s="45">
        <f>K38*(1+IF(L8=1,0,IF(AND(L$2&gt;=2,K70=0),Parametres!$D$59,CHOOSE(L$2,Parametres!$F$53,Parametres!$G$53,Parametres!$H$53))*L7))</f>
        <v>17.929535525215009</v>
      </c>
      <c r="M38" s="45">
        <f>L38*(1+IF(M8=1,0,IF(AND(M$2&gt;=2,L70=0),Parametres!$D$59,CHOOSE(M$2,Parametres!$F$53,Parametres!$G$53,Parametres!$H$53))*M7))</f>
        <v>18.252267164668879</v>
      </c>
      <c r="N38" s="45">
        <f>M38*(1+IF(N8=1,0,IF(AND(N$2&gt;=2,M70=0),Parametres!$D$59,CHOOSE(N$2,Parametres!$F$53,Parametres!$G$53,Parametres!$H$53))*N7))</f>
        <v>18.580807973632918</v>
      </c>
      <c r="O38" s="45">
        <f>N38*(1+IF(O8=1,0,IF(AND(O$2&gt;=2,N70=0),Parametres!$D$59,CHOOSE(O$2,Parametres!$F$53,Parametres!$G$53,Parametres!$H$53))*O7))</f>
        <v>18.954739520986138</v>
      </c>
      <c r="P38" s="45">
        <f>O38*(1+IF(P8=1,0,IF(AND(P$2&gt;=2,O70=0),Parametres!$D$59,CHOOSE(P$2,Parametres!$F$53,Parametres!$G$53,Parametres!$H$53))*P7))</f>
        <v>19.336196295568676</v>
      </c>
      <c r="Q38" s="45">
        <f>P38*(1+IF(Q8=1,0,IF(AND(Q$2&gt;=2,P70=0),Parametres!$D$59,CHOOSE(Q$2,Parametres!$F$53,Parametres!$G$53,Parametres!$H$53))*Q7))</f>
        <v>19.725329739657216</v>
      </c>
      <c r="R38" s="45">
        <f>Q38*(1+IF(R8=1,0,IF(AND(R$2&gt;=2,Q70=0),Parametres!$D$59,CHOOSE(R$2,Parametres!$F$53,Parametres!$G$53,Parametres!$H$53))*R7))</f>
        <v>20.122294343245461</v>
      </c>
      <c r="S38" s="45">
        <f>R38*(1+IF(S8=1,0,IF(AND(S$2&gt;=2,R70=0),Parametres!$D$59,CHOOSE(S$2,Parametres!$F$53,Parametres!$G$53,Parametres!$H$53))*S7))</f>
        <v>20.527247705378265</v>
      </c>
      <c r="T38" s="45">
        <f>S38*(1+IF(T8=1,0,IF(AND(T$2&gt;=2,S70=0),Parametres!$D$59,CHOOSE(T$2,Parametres!$F$53,Parametres!$G$53,Parametres!$H$53))*T7))</f>
        <v>20.940350596720084</v>
      </c>
      <c r="U38" s="45">
        <f>T38*(1+IF(U8=1,0,IF(AND(U$2&gt;=2,T70=0),Parametres!$D$59,CHOOSE(U$2,Parametres!$F$53,Parametres!$G$53,Parametres!$H$53))*U7))</f>
        <v>21.36176702338258</v>
      </c>
      <c r="V38" s="45">
        <f>U38*(1+IF(V8=1,0,IF(AND(V$2&gt;=2,U70=0),Parametres!$D$59,CHOOSE(V$2,Parametres!$F$53,Parametres!$G$53,Parametres!$H$53))*V7))</f>
        <v>21.791664292036749</v>
      </c>
      <c r="W38" s="45">
        <f>V38*(1+IF(W8=1,0,IF(AND(W$2&gt;=2,V70=0),Parametres!$D$59,CHOOSE(W$2,Parametres!$F$53,Parametres!$G$53,Parametres!$H$53))*W7))</f>
        <v>22.230213076335389</v>
      </c>
      <c r="X38" s="45">
        <f>W38*(1+IF(X8=1,0,IF(AND(X$2&gt;=2,W70=0),Parametres!$D$59,CHOOSE(X$2,Parametres!$F$53,Parametres!$G$53,Parametres!$H$53))*X7))</f>
        <v>22.677587484672301</v>
      </c>
      <c r="Y38" s="45">
        <f>X38*(1+IF(Y8=1,0,IF(AND(Y$2&gt;=2,X70=0),Parametres!$D$59,CHOOSE(Y$2,Parametres!$F$53,Parametres!$G$53,Parametres!$H$53))*Y7))</f>
        <v>23.133965129305132</v>
      </c>
      <c r="Z38" s="45">
        <f>Y38*(1+IF(Z8=1,0,IF(AND(Z$2&gt;=2,Y70=0),Parametres!$D$59,CHOOSE(Z$2,Parametres!$F$53,Parametres!$G$53,Parametres!$H$53))*Z7))</f>
        <v>23.599527196869253</v>
      </c>
      <c r="AA38" s="45">
        <f>Z38*(1+IF(AA8=1,0,IF(AND(AA$2&gt;=2,Z70=0),Parametres!$D$59,CHOOSE(AA$2,Parametres!$F$53,Parametres!$G$53,Parametres!$H$53))*AA7))</f>
        <v>24.177595194901894</v>
      </c>
      <c r="AB38" s="45">
        <f>AA38*(1+IF(AB8=1,0,IF(AND(AB$2&gt;=2,AA70=0),Parametres!$D$59,CHOOSE(AB$2,Parametres!$F$53,Parametres!$G$53,Parametres!$H$53))*AB7))</f>
        <v>24.769822909252657</v>
      </c>
      <c r="AC38" s="45">
        <f>AB38*(1+IF(AC8=1,0,IF(AND(AC$2&gt;=2,AB70=0),Parametres!$D$59,CHOOSE(AC$2,Parametres!$F$53,Parametres!$G$53,Parametres!$H$53))*AC7))</f>
        <v>25.376557180720361</v>
      </c>
      <c r="AD38" s="45">
        <f>AC38*(1+IF(AD8=1,0,IF(AND(AD$2&gt;=2,AC70=0),Parametres!$D$59,CHOOSE(AD$2,Parametres!$F$53,Parametres!$G$53,Parametres!$H$53))*AD7))</f>
        <v>25.998153345933616</v>
      </c>
      <c r="AE38" s="45">
        <f>AD38*(1+IF(AE8=1,0,IF(AND(AE$2&gt;=2,AD70=0),Parametres!$D$59,CHOOSE(AE$2,Parametres!$F$53,Parametres!$G$53,Parametres!$H$53))*AE7))</f>
        <v>26.634975445455304</v>
      </c>
      <c r="AF38" s="45">
        <f>AE38*(1+IF(AF8=1,0,IF(AND(AF$2&gt;=2,AE70=0),Parametres!$D$59,CHOOSE(AF$2,Parametres!$F$53,Parametres!$G$53,Parametres!$H$53))*AF7))</f>
        <v>27.287396436984551</v>
      </c>
      <c r="AG38" s="45">
        <f>AF38*(1+IF(AG8=1,0,IF(AND(AG$2&gt;=2,AF70=0),Parametres!$D$59,CHOOSE(AG$2,Parametres!$F$53,Parametres!$G$53,Parametres!$H$53))*AG7))</f>
        <v>27.955798413781071</v>
      </c>
      <c r="AH38" s="45">
        <f>AG38*(1+IF(AH8=1,0,IF(AND(AH$2&gt;=2,AG70=0),Parametres!$D$59,CHOOSE(AH$2,Parametres!$F$53,Parametres!$G$53,Parametres!$H$53))*AH7))</f>
        <v>28.640572828439783</v>
      </c>
      <c r="AI38" s="45">
        <f>AH38*(1+IF(AI8=1,0,IF(AND(AI$2&gt;=2,AH70=0),Parametres!$D$59,CHOOSE(AI$2,Parametres!$F$53,Parametres!$G$53,Parametres!$H$53))*AI7))</f>
        <v>29.342120722146763</v>
      </c>
      <c r="AJ38" s="45">
        <f>AI38*(1+IF(AJ8=1,0,IF(AND(AJ$2&gt;=2,AI70=0),Parametres!$D$59,CHOOSE(AJ$2,Parametres!$F$53,Parametres!$G$53,Parametres!$H$53))*AJ7))</f>
        <v>30.060852959550807</v>
      </c>
      <c r="AK38" s="45">
        <f>AJ38*(1+IF(AK8=1,0,IF(AND(AK$2&gt;=2,AJ70=0),Parametres!$D$59,CHOOSE(AK$2,Parametres!$F$53,Parametres!$G$53,Parametres!$H$53))*AK7))</f>
        <v>30.797190469388141</v>
      </c>
    </row>
    <row r="39" spans="1:37" x14ac:dyDescent="0.2">
      <c r="A39" s="37" t="s">
        <v>364</v>
      </c>
      <c r="B39" s="93">
        <f t="shared" ref="B39:AK39" si="6">MIN(B38,B37)</f>
        <v>15</v>
      </c>
      <c r="C39" s="93">
        <f t="shared" si="6"/>
        <v>15.27</v>
      </c>
      <c r="D39" s="93">
        <f t="shared" si="6"/>
        <v>15.54486</v>
      </c>
      <c r="E39" s="93">
        <f t="shared" si="6"/>
        <v>15.82466748</v>
      </c>
      <c r="F39" s="93">
        <f t="shared" si="6"/>
        <v>16.10951149464</v>
      </c>
      <c r="G39" s="93">
        <f t="shared" si="6"/>
        <v>16.399482701543519</v>
      </c>
      <c r="H39" s="93">
        <f t="shared" si="6"/>
        <v>16.694673390171303</v>
      </c>
      <c r="I39" s="93">
        <f t="shared" si="6"/>
        <v>16.995177511194388</v>
      </c>
      <c r="J39" s="93">
        <f t="shared" si="6"/>
        <v>17.301090706395886</v>
      </c>
      <c r="K39" s="93">
        <f t="shared" si="6"/>
        <v>17.612510339111012</v>
      </c>
      <c r="L39" s="93">
        <f t="shared" si="6"/>
        <v>17.929535525215009</v>
      </c>
      <c r="M39" s="93">
        <f t="shared" si="6"/>
        <v>18.252267164668879</v>
      </c>
      <c r="N39" s="93">
        <f t="shared" si="6"/>
        <v>18.580807973632918</v>
      </c>
      <c r="O39" s="93">
        <f t="shared" si="6"/>
        <v>18.954739520986138</v>
      </c>
      <c r="P39" s="93">
        <f t="shared" si="6"/>
        <v>19.336196295568676</v>
      </c>
      <c r="Q39" s="93">
        <f t="shared" si="6"/>
        <v>19.725329739657216</v>
      </c>
      <c r="R39" s="93">
        <f t="shared" si="6"/>
        <v>20.122294343245461</v>
      </c>
      <c r="S39" s="93">
        <f t="shared" si="6"/>
        <v>20.527247705378265</v>
      </c>
      <c r="T39" s="93">
        <f t="shared" si="6"/>
        <v>20.940350596720084</v>
      </c>
      <c r="U39" s="93">
        <f t="shared" si="6"/>
        <v>21.36176702338258</v>
      </c>
      <c r="V39" s="93">
        <f t="shared" si="6"/>
        <v>21.791664292036749</v>
      </c>
      <c r="W39" s="93">
        <f t="shared" si="6"/>
        <v>22.230213076335389</v>
      </c>
      <c r="X39" s="93">
        <f t="shared" si="6"/>
        <v>22.677587484672301</v>
      </c>
      <c r="Y39" s="93">
        <f t="shared" si="6"/>
        <v>23.133965129305132</v>
      </c>
      <c r="Z39" s="93">
        <f t="shared" si="6"/>
        <v>23.599527196869253</v>
      </c>
      <c r="AA39" s="93">
        <f t="shared" si="6"/>
        <v>24.177595194901894</v>
      </c>
      <c r="AB39" s="93">
        <f t="shared" si="6"/>
        <v>24.769822909252657</v>
      </c>
      <c r="AC39" s="93">
        <f t="shared" si="6"/>
        <v>25.376557180720361</v>
      </c>
      <c r="AD39" s="93">
        <f t="shared" si="6"/>
        <v>25.998153345933616</v>
      </c>
      <c r="AE39" s="93">
        <f t="shared" si="6"/>
        <v>26.634975445455304</v>
      </c>
      <c r="AF39" s="93">
        <f t="shared" si="6"/>
        <v>27.287396436984551</v>
      </c>
      <c r="AG39" s="93">
        <f t="shared" si="6"/>
        <v>27.955798413781071</v>
      </c>
      <c r="AH39" s="93">
        <f t="shared" si="6"/>
        <v>28.640572828439783</v>
      </c>
      <c r="AI39" s="93">
        <f t="shared" si="6"/>
        <v>29.342120722146763</v>
      </c>
      <c r="AJ39" s="93">
        <f t="shared" si="6"/>
        <v>30.060852959550807</v>
      </c>
      <c r="AK39" s="93">
        <f t="shared" si="6"/>
        <v>30.797190469388141</v>
      </c>
    </row>
    <row r="40" spans="1:37" x14ac:dyDescent="0.2">
      <c r="A40" s="39" t="s">
        <v>348</v>
      </c>
      <c r="B40" s="92">
        <f t="shared" ref="B40:AK40" si="7">B38-B39</f>
        <v>0</v>
      </c>
      <c r="C40" s="92">
        <f t="shared" si="7"/>
        <v>0</v>
      </c>
      <c r="D40" s="92">
        <f t="shared" si="7"/>
        <v>0</v>
      </c>
      <c r="E40" s="92">
        <f t="shared" si="7"/>
        <v>0</v>
      </c>
      <c r="F40" s="92">
        <f t="shared" si="7"/>
        <v>0</v>
      </c>
      <c r="G40" s="92">
        <f t="shared" si="7"/>
        <v>0</v>
      </c>
      <c r="H40" s="92">
        <f t="shared" si="7"/>
        <v>0</v>
      </c>
      <c r="I40" s="92">
        <f t="shared" si="7"/>
        <v>0</v>
      </c>
      <c r="J40" s="92">
        <f t="shared" si="7"/>
        <v>0</v>
      </c>
      <c r="K40" s="92">
        <f t="shared" si="7"/>
        <v>0</v>
      </c>
      <c r="L40" s="92">
        <f t="shared" si="7"/>
        <v>0</v>
      </c>
      <c r="M40" s="92">
        <f t="shared" si="7"/>
        <v>0</v>
      </c>
      <c r="N40" s="92">
        <f t="shared" si="7"/>
        <v>0</v>
      </c>
      <c r="O40" s="92">
        <f t="shared" si="7"/>
        <v>0</v>
      </c>
      <c r="P40" s="92">
        <f t="shared" si="7"/>
        <v>0</v>
      </c>
      <c r="Q40" s="92">
        <f t="shared" si="7"/>
        <v>0</v>
      </c>
      <c r="R40" s="92">
        <f t="shared" si="7"/>
        <v>0</v>
      </c>
      <c r="S40" s="92">
        <f t="shared" si="7"/>
        <v>0</v>
      </c>
      <c r="T40" s="92">
        <f t="shared" si="7"/>
        <v>0</v>
      </c>
      <c r="U40" s="92">
        <f t="shared" si="7"/>
        <v>0</v>
      </c>
      <c r="V40" s="92">
        <f t="shared" si="7"/>
        <v>0</v>
      </c>
      <c r="W40" s="92">
        <f t="shared" si="7"/>
        <v>0</v>
      </c>
      <c r="X40" s="92">
        <f t="shared" si="7"/>
        <v>0</v>
      </c>
      <c r="Y40" s="92">
        <f t="shared" si="7"/>
        <v>0</v>
      </c>
      <c r="Z40" s="92">
        <f t="shared" si="7"/>
        <v>0</v>
      </c>
      <c r="AA40" s="92">
        <f t="shared" si="7"/>
        <v>0</v>
      </c>
      <c r="AB40" s="92">
        <f t="shared" si="7"/>
        <v>0</v>
      </c>
      <c r="AC40" s="92">
        <f t="shared" si="7"/>
        <v>0</v>
      </c>
      <c r="AD40" s="92">
        <f t="shared" si="7"/>
        <v>0</v>
      </c>
      <c r="AE40" s="92">
        <f t="shared" si="7"/>
        <v>0</v>
      </c>
      <c r="AF40" s="92">
        <f t="shared" si="7"/>
        <v>0</v>
      </c>
      <c r="AG40" s="92">
        <f t="shared" si="7"/>
        <v>0</v>
      </c>
      <c r="AH40" s="92">
        <f t="shared" si="7"/>
        <v>0</v>
      </c>
      <c r="AI40" s="92">
        <f t="shared" si="7"/>
        <v>0</v>
      </c>
      <c r="AJ40" s="92">
        <f t="shared" si="7"/>
        <v>0</v>
      </c>
      <c r="AK40" s="92">
        <f t="shared" si="7"/>
        <v>0</v>
      </c>
    </row>
    <row r="41" spans="1:37" x14ac:dyDescent="0.2">
      <c r="A41" s="39" t="s">
        <v>349</v>
      </c>
      <c r="B41" s="42">
        <f>IF(B36*Parametres!$D$90=0,0,B39/(B36*Parametres!$D$90))</f>
        <v>0.46875</v>
      </c>
      <c r="C41" s="42">
        <f>IF(C36*Parametres!$D$90=0,0,C39/(C36*Parametres!$D$90))</f>
        <v>0.43184389140271495</v>
      </c>
      <c r="D41" s="42">
        <f>IF(D36*Parametres!$D$90=0,0,D39/(D36*Parametres!$D$90))</f>
        <v>0.40216646659491678</v>
      </c>
      <c r="E41" s="42">
        <f>IF(E36*Parametres!$D$90=0,0,E39/(E36*Parametres!$D$90))</f>
        <v>0.37785969942891728</v>
      </c>
      <c r="F41" s="42">
        <f>IF(F36*Parametres!$D$90=0,0,F39/(F36*Parametres!$D$90))</f>
        <v>0.35765414860027001</v>
      </c>
      <c r="G41" s="42">
        <f>IF(G36*Parametres!$D$90=0,0,G39/(G36*Parametres!$D$90))</f>
        <v>0.34065304864537038</v>
      </c>
      <c r="H41" s="42">
        <f>IF(H36*Parametres!$D$90=0,0,H39/(H36*Parametres!$D$90))</f>
        <v>0.32620494757421115</v>
      </c>
      <c r="I41" s="42">
        <f>IF(I36*Parametres!$D$90=0,0,I39/(I36*Parametres!$D$90))</f>
        <v>0.31382523544213831</v>
      </c>
      <c r="J41" s="42">
        <f>IF(J36*Parametres!$D$90=0,0,J39/(J36*Parametres!$D$90))</f>
        <v>0.3031459846389491</v>
      </c>
      <c r="K41" s="42">
        <f>IF(K36*Parametres!$D$90=0,0,K39/(K36*Parametres!$D$90))</f>
        <v>0.29388286084237047</v>
      </c>
      <c r="L41" s="42">
        <f>IF(L36*Parametres!$D$90=0,0,L39/(L36*Parametres!$D$90))</f>
        <v>0.2858126906072665</v>
      </c>
      <c r="M41" s="42">
        <f>IF(M36*Parametres!$D$90=0,0,M39/(M36*Parametres!$D$90))</f>
        <v>0.27875788550532965</v>
      </c>
      <c r="N41" s="42">
        <f>IF(N36*Parametres!$D$90=0,0,N39/(N36*Parametres!$D$90))</f>
        <v>0.27257539633102718</v>
      </c>
      <c r="O41" s="42">
        <f>IF(O36*Parametres!$D$90=0,0,O39/(O36*Parametres!$D$90))</f>
        <v>0.26770628276813824</v>
      </c>
      <c r="P41" s="42">
        <f>IF(P36*Parametres!$D$90=0,0,P39/(P36*Parametres!$D$90))</f>
        <v>0.26347844012776261</v>
      </c>
      <c r="Q41" s="42">
        <f>IF(Q36*Parametres!$D$90=0,0,Q39/(Q36*Parametres!$D$90))</f>
        <v>0.25981596700632748</v>
      </c>
      <c r="R41" s="42">
        <f>IF(R36*Parametres!$D$90=0,0,R39/(R36*Parametres!$D$90))</f>
        <v>0.25665542615837345</v>
      </c>
      <c r="S41" s="42">
        <f>IF(S36*Parametres!$D$90=0,0,S39/(S36*Parametres!$D$90))</f>
        <v>0.2539434162435294</v>
      </c>
      <c r="T41" s="42">
        <f>IF(T36*Parametres!$D$90=0,0,T39/(T36*Parametres!$D$90))</f>
        <v>0.25163469075401723</v>
      </c>
      <c r="U41" s="42">
        <f>IF(U36*Parametres!$D$90=0,0,U39/(U36*Parametres!$D$90))</f>
        <v>0.24969068549838216</v>
      </c>
      <c r="V41" s="42">
        <f>IF(V36*Parametres!$D$90=0,0,V39/(V36*Parametres!$D$90))</f>
        <v>0.24807835475230861</v>
      </c>
      <c r="W41" s="42">
        <f>IF(W36*Parametres!$D$90=0,0,W39/(W36*Parametres!$D$90))</f>
        <v>0.24676924315696921</v>
      </c>
      <c r="X41" s="42">
        <f>IF(X36*Parametres!$D$90=0,0,X39/(X36*Parametres!$D$90))</f>
        <v>0.24573873949052885</v>
      </c>
      <c r="Y41" s="42">
        <f>IF(Y36*Parametres!$D$90=0,0,Y39/(Y36*Parametres!$D$90))</f>
        <v>0.24496547206452371</v>
      </c>
      <c r="Z41" s="42">
        <f>IF(Z36*Parametres!$D$90=0,0,Z39/(Z36*Parametres!$D$90))</f>
        <v>0.24443081536460795</v>
      </c>
      <c r="AA41" s="42">
        <f>IF(AA36*Parametres!$D$90=0,0,AA39/(AA36*Parametres!$D$90))</f>
        <v>0.23560791256821187</v>
      </c>
      <c r="AB41" s="42">
        <f>IF(AB36*Parametres!$D$90=0,0,AB39/(AB36*Parametres!$D$90))</f>
        <v>0.22815542366698768</v>
      </c>
      <c r="AC41" s="42">
        <f>IF(AC36*Parametres!$D$90=0,0,AC39/(AC36*Parametres!$D$90))</f>
        <v>0.2218341913970848</v>
      </c>
      <c r="AD41" s="42">
        <f>IF(AD36*Parametres!$D$90=0,0,AD39/(AD36*Parametres!$D$90))</f>
        <v>0.21645940386514945</v>
      </c>
      <c r="AE41" s="42">
        <f>IF(AE36*Parametres!$D$90=0,0,AE39/(AE36*Parametres!$D$90))</f>
        <v>0.21188604937355604</v>
      </c>
      <c r="AF41" s="42">
        <f>IF(AF36*Parametres!$D$90=0,0,AF39/(AF36*Parametres!$D$90))</f>
        <v>0.20799880736043516</v>
      </c>
      <c r="AG41" s="42">
        <f>IF(AG36*Parametres!$D$90=0,0,AG39/(AG36*Parametres!$D$90))</f>
        <v>0.20470487340926205</v>
      </c>
      <c r="AH41" s="42">
        <f>IF(AH36*Parametres!$D$90=0,0,AH39/(AH36*Parametres!$D$90))</f>
        <v>0.20192877070636073</v>
      </c>
      <c r="AI41" s="42">
        <f>IF(AI36*Parametres!$D$90=0,0,AI39/(AI36*Parametres!$D$90))</f>
        <v>0.19960853467697512</v>
      </c>
      <c r="AJ41" s="42">
        <f>IF(AJ36*Parametres!$D$90=0,0,AJ39/(AJ36*Parametres!$D$90))</f>
        <v>0.19769286477213083</v>
      </c>
      <c r="AK41" s="42">
        <f>IF(AK36*Parametres!$D$90=0,0,AK39/(AK36*Parametres!$D$90))</f>
        <v>0.1961389690262185</v>
      </c>
    </row>
    <row r="42" spans="1:37" x14ac:dyDescent="0.2">
      <c r="A42" s="39" t="s">
        <v>350</v>
      </c>
      <c r="B42" s="58">
        <f>Parametres!$D$30*(1+Parametres!$D$46)^(B$2-1)</f>
        <v>15000</v>
      </c>
      <c r="C42" s="58">
        <f>Parametres!$D$30*(1+Parametres!$D$46)^(C$2-1)</f>
        <v>15000</v>
      </c>
      <c r="D42" s="58">
        <f>Parametres!$D$30*(1+Parametres!$D$46)^(D$2-1)</f>
        <v>15000</v>
      </c>
      <c r="E42" s="58">
        <f>Parametres!$D$30*(1+Parametres!$D$46)^(E$2-1)</f>
        <v>15000</v>
      </c>
      <c r="F42" s="58">
        <f>Parametres!$D$30*(1+Parametres!$D$46)^(F$2-1)</f>
        <v>15000</v>
      </c>
      <c r="G42" s="58">
        <f>Parametres!$D$30*(1+Parametres!$D$46)^(G$2-1)</f>
        <v>15000</v>
      </c>
      <c r="H42" s="58">
        <f>Parametres!$D$30*(1+Parametres!$D$46)^(H$2-1)</f>
        <v>15000</v>
      </c>
      <c r="I42" s="58">
        <f>Parametres!$D$30*(1+Parametres!$D$46)^(I$2-1)</f>
        <v>15000</v>
      </c>
      <c r="J42" s="58">
        <f>Parametres!$D$30*(1+Parametres!$D$46)^(J$2-1)</f>
        <v>15000</v>
      </c>
      <c r="K42" s="58">
        <f>Parametres!$D$30*(1+Parametres!$D$46)^(K$2-1)</f>
        <v>15000</v>
      </c>
      <c r="L42" s="58">
        <f>Parametres!$D$30*(1+Parametres!$D$46)^(L$2-1)</f>
        <v>15000</v>
      </c>
      <c r="M42" s="58">
        <f>Parametres!$D$30*(1+Parametres!$D$46)^(M$2-1)</f>
        <v>15000</v>
      </c>
      <c r="N42" s="58">
        <f>Parametres!$D$30*(1+Parametres!$D$46)^(N$2-1)</f>
        <v>16200.000000000002</v>
      </c>
      <c r="O42" s="58">
        <f>Parametres!$D$30*(1+Parametres!$D$46)^(O$2-1)</f>
        <v>16200.000000000002</v>
      </c>
      <c r="P42" s="58">
        <f>Parametres!$D$30*(1+Parametres!$D$46)^(P$2-1)</f>
        <v>16200.000000000002</v>
      </c>
      <c r="Q42" s="58">
        <f>Parametres!$D$30*(1+Parametres!$D$46)^(Q$2-1)</f>
        <v>16200.000000000002</v>
      </c>
      <c r="R42" s="58">
        <f>Parametres!$D$30*(1+Parametres!$D$46)^(R$2-1)</f>
        <v>16200.000000000002</v>
      </c>
      <c r="S42" s="58">
        <f>Parametres!$D$30*(1+Parametres!$D$46)^(S$2-1)</f>
        <v>16200.000000000002</v>
      </c>
      <c r="T42" s="58">
        <f>Parametres!$D$30*(1+Parametres!$D$46)^(T$2-1)</f>
        <v>16200.000000000002</v>
      </c>
      <c r="U42" s="58">
        <f>Parametres!$D$30*(1+Parametres!$D$46)^(U$2-1)</f>
        <v>16200.000000000002</v>
      </c>
      <c r="V42" s="58">
        <f>Parametres!$D$30*(1+Parametres!$D$46)^(V$2-1)</f>
        <v>16200.000000000002</v>
      </c>
      <c r="W42" s="58">
        <f>Parametres!$D$30*(1+Parametres!$D$46)^(W$2-1)</f>
        <v>16200.000000000002</v>
      </c>
      <c r="X42" s="58">
        <f>Parametres!$D$30*(1+Parametres!$D$46)^(X$2-1)</f>
        <v>16200.000000000002</v>
      </c>
      <c r="Y42" s="58">
        <f>Parametres!$D$30*(1+Parametres!$D$46)^(Y$2-1)</f>
        <v>16200.000000000002</v>
      </c>
      <c r="Z42" s="58">
        <f>Parametres!$D$30*(1+Parametres!$D$46)^(Z$2-1)</f>
        <v>17496</v>
      </c>
      <c r="AA42" s="58">
        <f>Parametres!$D$30*(1+Parametres!$D$46)^(AA$2-1)</f>
        <v>17496</v>
      </c>
      <c r="AB42" s="58">
        <f>Parametres!$D$30*(1+Parametres!$D$46)^(AB$2-1)</f>
        <v>17496</v>
      </c>
      <c r="AC42" s="58">
        <f>Parametres!$D$30*(1+Parametres!$D$46)^(AC$2-1)</f>
        <v>17496</v>
      </c>
      <c r="AD42" s="58">
        <f>Parametres!$D$30*(1+Parametres!$D$46)^(AD$2-1)</f>
        <v>17496</v>
      </c>
      <c r="AE42" s="58">
        <f>Parametres!$D$30*(1+Parametres!$D$46)^(AE$2-1)</f>
        <v>17496</v>
      </c>
      <c r="AF42" s="58">
        <f>Parametres!$D$30*(1+Parametres!$D$46)^(AF$2-1)</f>
        <v>17496</v>
      </c>
      <c r="AG42" s="58">
        <f>Parametres!$D$30*(1+Parametres!$D$46)^(AG$2-1)</f>
        <v>17496</v>
      </c>
      <c r="AH42" s="58">
        <f>Parametres!$D$30*(1+Parametres!$D$46)^(AH$2-1)</f>
        <v>17496</v>
      </c>
      <c r="AI42" s="58">
        <f>Parametres!$D$30*(1+Parametres!$D$46)^(AI$2-1)</f>
        <v>17496</v>
      </c>
      <c r="AJ42" s="58">
        <f>Parametres!$D$30*(1+Parametres!$D$46)^(AJ$2-1)</f>
        <v>17496</v>
      </c>
      <c r="AK42" s="58">
        <f>Parametres!$D$30*(1+Parametres!$D$46)^(AK$2-1)</f>
        <v>17496</v>
      </c>
    </row>
    <row r="43" spans="1:37" x14ac:dyDescent="0.2">
      <c r="A43" s="37" t="s">
        <v>365</v>
      </c>
      <c r="B43" s="95">
        <f t="shared" ref="B43:AK43" si="8">B39*B42</f>
        <v>225000</v>
      </c>
      <c r="C43" s="95">
        <f t="shared" si="8"/>
        <v>229050</v>
      </c>
      <c r="D43" s="95">
        <f t="shared" si="8"/>
        <v>233172.9</v>
      </c>
      <c r="E43" s="95">
        <f t="shared" si="8"/>
        <v>237370.0122</v>
      </c>
      <c r="F43" s="95">
        <f t="shared" si="8"/>
        <v>241642.67241959999</v>
      </c>
      <c r="G43" s="95">
        <f t="shared" si="8"/>
        <v>245992.24052315278</v>
      </c>
      <c r="H43" s="95">
        <f t="shared" si="8"/>
        <v>250420.10085256954</v>
      </c>
      <c r="I43" s="95">
        <f t="shared" si="8"/>
        <v>254927.66266791584</v>
      </c>
      <c r="J43" s="95">
        <f t="shared" si="8"/>
        <v>259516.36059593828</v>
      </c>
      <c r="K43" s="95">
        <f t="shared" si="8"/>
        <v>264187.65508666518</v>
      </c>
      <c r="L43" s="95">
        <f t="shared" si="8"/>
        <v>268943.03287822515</v>
      </c>
      <c r="M43" s="95">
        <f t="shared" si="8"/>
        <v>273784.00747003319</v>
      </c>
      <c r="N43" s="95">
        <f t="shared" si="8"/>
        <v>301009.08917285333</v>
      </c>
      <c r="O43" s="95">
        <f t="shared" si="8"/>
        <v>307066.78023997549</v>
      </c>
      <c r="P43" s="95">
        <f t="shared" si="8"/>
        <v>313246.3799882126</v>
      </c>
      <c r="Q43" s="95">
        <f t="shared" si="8"/>
        <v>319550.34178244695</v>
      </c>
      <c r="R43" s="95">
        <f t="shared" si="8"/>
        <v>325981.1683605765</v>
      </c>
      <c r="S43" s="95">
        <f t="shared" si="8"/>
        <v>332541.4128271279</v>
      </c>
      <c r="T43" s="95">
        <f t="shared" si="8"/>
        <v>339233.67966686538</v>
      </c>
      <c r="U43" s="95">
        <f t="shared" si="8"/>
        <v>346060.62577879784</v>
      </c>
      <c r="V43" s="95">
        <f t="shared" si="8"/>
        <v>353024.96153099538</v>
      </c>
      <c r="W43" s="95">
        <f t="shared" si="8"/>
        <v>360129.45183663332</v>
      </c>
      <c r="X43" s="95">
        <f t="shared" si="8"/>
        <v>367376.91725169134</v>
      </c>
      <c r="Y43" s="95">
        <f t="shared" si="8"/>
        <v>374770.2350947432</v>
      </c>
      <c r="Z43" s="95">
        <f t="shared" si="8"/>
        <v>412897.32783642446</v>
      </c>
      <c r="AA43" s="95">
        <f t="shared" si="8"/>
        <v>423011.20553000353</v>
      </c>
      <c r="AB43" s="95">
        <f t="shared" si="8"/>
        <v>433372.82162028446</v>
      </c>
      <c r="AC43" s="95">
        <f t="shared" si="8"/>
        <v>443988.24443388346</v>
      </c>
      <c r="AD43" s="95">
        <f t="shared" si="8"/>
        <v>454863.69094045454</v>
      </c>
      <c r="AE43" s="95">
        <f t="shared" si="8"/>
        <v>466005.53039368597</v>
      </c>
      <c r="AF43" s="95">
        <f t="shared" si="8"/>
        <v>477420.28806148173</v>
      </c>
      <c r="AG43" s="95">
        <f t="shared" si="8"/>
        <v>489114.64904751361</v>
      </c>
      <c r="AH43" s="95">
        <f t="shared" si="8"/>
        <v>501095.46220638242</v>
      </c>
      <c r="AI43" s="95">
        <f t="shared" si="8"/>
        <v>513369.74415467976</v>
      </c>
      <c r="AJ43" s="95">
        <f t="shared" si="8"/>
        <v>525944.68338030088</v>
      </c>
      <c r="AK43" s="95">
        <f t="shared" si="8"/>
        <v>538827.64445241494</v>
      </c>
    </row>
    <row r="44" spans="1:37" x14ac:dyDescent="0.2">
      <c r="A44" s="37" t="s">
        <v>366</v>
      </c>
      <c r="B44" s="96">
        <f>B43*Parametres!$D$34</f>
        <v>63787.500000000007</v>
      </c>
      <c r="C44" s="96">
        <f>C43*Parametres!$D$34</f>
        <v>64935.67500000001</v>
      </c>
      <c r="D44" s="96">
        <f>D43*Parametres!$D$34</f>
        <v>66104.51715</v>
      </c>
      <c r="E44" s="96">
        <f>E43*Parametres!$D$34</f>
        <v>67294.398458700001</v>
      </c>
      <c r="F44" s="96">
        <f>F43*Parametres!$D$34</f>
        <v>68505.697630956609</v>
      </c>
      <c r="G44" s="96">
        <f>G43*Parametres!$D$34</f>
        <v>69738.80018831382</v>
      </c>
      <c r="H44" s="96">
        <f>H43*Parametres!$D$34</f>
        <v>70994.09859170347</v>
      </c>
      <c r="I44" s="96">
        <f>I43*Parametres!$D$34</f>
        <v>72271.992366354141</v>
      </c>
      <c r="J44" s="96">
        <f>J43*Parametres!$D$34</f>
        <v>73572.888228948505</v>
      </c>
      <c r="K44" s="96">
        <f>K43*Parametres!$D$34</f>
        <v>74897.200217069592</v>
      </c>
      <c r="L44" s="96">
        <f>L43*Parametres!$D$34</f>
        <v>76245.34982097683</v>
      </c>
      <c r="M44" s="96">
        <f>M43*Parametres!$D$34</f>
        <v>77617.766117754421</v>
      </c>
      <c r="N44" s="96">
        <f>N43*Parametres!$D$34</f>
        <v>85336.076780503921</v>
      </c>
      <c r="O44" s="96">
        <f>O43*Parametres!$D$34</f>
        <v>87053.432198033057</v>
      </c>
      <c r="P44" s="96">
        <f>P43*Parametres!$D$34</f>
        <v>88805.348726658282</v>
      </c>
      <c r="Q44" s="96">
        <f>Q43*Parametres!$D$34</f>
        <v>90592.52189532372</v>
      </c>
      <c r="R44" s="96">
        <f>R43*Parametres!$D$34</f>
        <v>92415.661230223443</v>
      </c>
      <c r="S44" s="96">
        <f>S43*Parametres!$D$34</f>
        <v>94275.490536490775</v>
      </c>
      <c r="T44" s="96">
        <f>T43*Parametres!$D$34</f>
        <v>96172.748185556353</v>
      </c>
      <c r="U44" s="96">
        <f>U43*Parametres!$D$34</f>
        <v>98108.187408289203</v>
      </c>
      <c r="V44" s="96">
        <f>V43*Parametres!$D$34</f>
        <v>100082.57659403721</v>
      </c>
      <c r="W44" s="96">
        <f>W43*Parametres!$D$34</f>
        <v>102096.69959568555</v>
      </c>
      <c r="X44" s="96">
        <f>X43*Parametres!$D$34</f>
        <v>104151.3560408545</v>
      </c>
      <c r="Y44" s="96">
        <f>Y43*Parametres!$D$34</f>
        <v>106247.36164935971</v>
      </c>
      <c r="Z44" s="96">
        <f>Z43*Parametres!$D$34</f>
        <v>117056.39244162635</v>
      </c>
      <c r="AA44" s="96">
        <f>AA43*Parametres!$D$34</f>
        <v>119923.67676775601</v>
      </c>
      <c r="AB44" s="96">
        <f>AB43*Parametres!$D$34</f>
        <v>122861.19492935066</v>
      </c>
      <c r="AC44" s="96">
        <f>AC43*Parametres!$D$34</f>
        <v>125870.66729700597</v>
      </c>
      <c r="AD44" s="96">
        <f>AD43*Parametres!$D$34</f>
        <v>128953.85638161888</v>
      </c>
      <c r="AE44" s="96">
        <f>AE43*Parametres!$D$34</f>
        <v>132112.56786660998</v>
      </c>
      <c r="AF44" s="96">
        <f>AF43*Parametres!$D$34</f>
        <v>135348.65166543008</v>
      </c>
      <c r="AG44" s="96">
        <f>AG43*Parametres!$D$34</f>
        <v>138664.00300497012</v>
      </c>
      <c r="AH44" s="96">
        <f>AH43*Parametres!$D$34</f>
        <v>142060.56353550943</v>
      </c>
      <c r="AI44" s="96">
        <f>AI43*Parametres!$D$34</f>
        <v>145540.32246785171</v>
      </c>
      <c r="AJ44" s="96">
        <f>AJ43*Parametres!$D$34</f>
        <v>149105.31773831532</v>
      </c>
      <c r="AK44" s="96">
        <f>AK43*Parametres!$D$34</f>
        <v>152757.63720225965</v>
      </c>
    </row>
    <row r="45" spans="1:37" x14ac:dyDescent="0.2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</row>
    <row r="46" spans="1:37" ht="18" customHeight="1" x14ac:dyDescent="0.2">
      <c r="A46" s="40" t="s">
        <v>367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</row>
    <row r="47" spans="1:37" x14ac:dyDescent="0.2">
      <c r="A47" s="39" t="s">
        <v>368</v>
      </c>
      <c r="B47" s="45">
        <f>Parametres!$D$91*(1-IF(Parametres!$B$158=1,Parametres!$B$159,0))</f>
        <v>15</v>
      </c>
      <c r="C47" s="45">
        <f>Parametres!$D$92</f>
        <v>2</v>
      </c>
      <c r="D47" s="45">
        <f>Parametres!$D$92</f>
        <v>2</v>
      </c>
      <c r="E47" s="45">
        <f>Parametres!$D$92</f>
        <v>2</v>
      </c>
      <c r="F47" s="45">
        <f>Parametres!$D$92</f>
        <v>2</v>
      </c>
      <c r="G47" s="45">
        <f>Parametres!$D$92</f>
        <v>2</v>
      </c>
      <c r="H47" s="45">
        <f>Parametres!$D$92</f>
        <v>2</v>
      </c>
      <c r="I47" s="45">
        <f>Parametres!$D$92</f>
        <v>2</v>
      </c>
      <c r="J47" s="45">
        <f>Parametres!$D$92</f>
        <v>2</v>
      </c>
      <c r="K47" s="45">
        <f>Parametres!$D$92</f>
        <v>2</v>
      </c>
      <c r="L47" s="45">
        <f>Parametres!$D$92</f>
        <v>2</v>
      </c>
      <c r="M47" s="45">
        <f>Parametres!$D$92</f>
        <v>2</v>
      </c>
      <c r="N47" s="45">
        <f>Parametres!$D$92</f>
        <v>2</v>
      </c>
      <c r="O47" s="45">
        <f>Parametres!$D$92</f>
        <v>2</v>
      </c>
      <c r="P47" s="45">
        <f>Parametres!$D$92</f>
        <v>2</v>
      </c>
      <c r="Q47" s="45">
        <f>Parametres!$D$92</f>
        <v>2</v>
      </c>
      <c r="R47" s="45">
        <f>Parametres!$D$92</f>
        <v>2</v>
      </c>
      <c r="S47" s="45">
        <f>Parametres!$D$92</f>
        <v>2</v>
      </c>
      <c r="T47" s="45">
        <f>Parametres!$D$92</f>
        <v>2</v>
      </c>
      <c r="U47" s="45">
        <f>Parametres!$D$92</f>
        <v>2</v>
      </c>
      <c r="V47" s="45">
        <f>Parametres!$D$92</f>
        <v>2</v>
      </c>
      <c r="W47" s="45">
        <f>Parametres!$D$92</f>
        <v>2</v>
      </c>
      <c r="X47" s="45">
        <f>Parametres!$D$92</f>
        <v>2</v>
      </c>
      <c r="Y47" s="45">
        <f>Parametres!$D$92</f>
        <v>2</v>
      </c>
      <c r="Z47" s="45">
        <f>Parametres!$D$92</f>
        <v>2</v>
      </c>
      <c r="AA47" s="45">
        <f>Parametres!$D$92</f>
        <v>2</v>
      </c>
      <c r="AB47" s="45">
        <f>Parametres!$D$92</f>
        <v>2</v>
      </c>
      <c r="AC47" s="45">
        <f>Parametres!$D$92</f>
        <v>2</v>
      </c>
      <c r="AD47" s="45">
        <f>Parametres!$D$92</f>
        <v>2</v>
      </c>
      <c r="AE47" s="45">
        <f>Parametres!$D$92</f>
        <v>2</v>
      </c>
      <c r="AF47" s="45">
        <f>Parametres!$D$92</f>
        <v>2</v>
      </c>
      <c r="AG47" s="45">
        <f>Parametres!$D$92</f>
        <v>2</v>
      </c>
      <c r="AH47" s="45">
        <f>Parametres!$D$92</f>
        <v>2</v>
      </c>
      <c r="AI47" s="45">
        <f>Parametres!$D$92</f>
        <v>2</v>
      </c>
      <c r="AJ47" s="45">
        <f>Parametres!$D$92</f>
        <v>2</v>
      </c>
      <c r="AK47" s="45">
        <f>Parametres!$D$92</f>
        <v>2</v>
      </c>
    </row>
    <row r="48" spans="1:37" x14ac:dyDescent="0.2">
      <c r="A48" s="39" t="s">
        <v>369</v>
      </c>
      <c r="B48" s="92">
        <f>0</f>
        <v>0</v>
      </c>
      <c r="C48" s="45">
        <f>B49*Parametres!$D$93</f>
        <v>0.75</v>
      </c>
      <c r="D48" s="45">
        <f>C49*Parametres!$D$93</f>
        <v>0.8125</v>
      </c>
      <c r="E48" s="45">
        <f>D49*Parametres!$D$93</f>
        <v>0.87187500000000007</v>
      </c>
      <c r="F48" s="45">
        <f>E49*Parametres!$D$93</f>
        <v>0.92828125000000006</v>
      </c>
      <c r="G48" s="45">
        <f>F49*Parametres!$D$93</f>
        <v>0.98186718750000002</v>
      </c>
      <c r="H48" s="45">
        <f>G49*Parametres!$D$93</f>
        <v>1.0327738281250001</v>
      </c>
      <c r="I48" s="45">
        <f>H49*Parametres!$D$93</f>
        <v>1.0811351367187498</v>
      </c>
      <c r="J48" s="45">
        <f>I49*Parametres!$D$93</f>
        <v>1.1270783798828123</v>
      </c>
      <c r="K48" s="45">
        <f>J49*Parametres!$D$93</f>
        <v>1.1707244608886718</v>
      </c>
      <c r="L48" s="45">
        <f>K49*Parametres!$D$93</f>
        <v>1.2121882378442381</v>
      </c>
      <c r="M48" s="45">
        <f>L49*Parametres!$D$93</f>
        <v>1.2515788259520262</v>
      </c>
      <c r="N48" s="45">
        <f>M49*Parametres!$D$93</f>
        <v>1.2889998846544248</v>
      </c>
      <c r="O48" s="45">
        <f>N49*Parametres!$D$93</f>
        <v>1.3245498904217037</v>
      </c>
      <c r="P48" s="45">
        <f>O49*Parametres!$D$93</f>
        <v>1.3583223959006183</v>
      </c>
      <c r="Q48" s="45">
        <f>P49*Parametres!$D$93</f>
        <v>1.3904062761055875</v>
      </c>
      <c r="R48" s="45">
        <f>Q49*Parametres!$D$93</f>
        <v>1.4208859623003081</v>
      </c>
      <c r="S48" s="45">
        <f>R49*Parametres!$D$93</f>
        <v>1.4498416641852927</v>
      </c>
      <c r="T48" s="45">
        <f>S49*Parametres!$D$93</f>
        <v>1.477349580976028</v>
      </c>
      <c r="U48" s="45">
        <f>T49*Parametres!$D$93</f>
        <v>1.5034821019272266</v>
      </c>
      <c r="V48" s="45">
        <f>U49*Parametres!$D$93</f>
        <v>1.528307996830865</v>
      </c>
      <c r="W48" s="45">
        <f>V49*Parametres!$D$93</f>
        <v>1.5518925969893218</v>
      </c>
      <c r="X48" s="45">
        <f>W49*Parametres!$D$93</f>
        <v>1.5742979671398558</v>
      </c>
      <c r="Y48" s="45">
        <f>X49*Parametres!$D$93</f>
        <v>1.5955830687828629</v>
      </c>
      <c r="Z48" s="45">
        <f>Y49*Parametres!$D$93</f>
        <v>1.6158039153437196</v>
      </c>
      <c r="AA48" s="45">
        <f>Z49*Parametres!$D$93</f>
        <v>1.6350137195765335</v>
      </c>
      <c r="AB48" s="45">
        <f>AA49*Parametres!$D$93</f>
        <v>1.6532630335977068</v>
      </c>
      <c r="AC48" s="45">
        <f>AB49*Parametres!$D$93</f>
        <v>1.6705998819178214</v>
      </c>
      <c r="AD48" s="45">
        <f>AC49*Parametres!$D$93</f>
        <v>1.6870698878219301</v>
      </c>
      <c r="AE48" s="45">
        <f>AD49*Parametres!$D$93</f>
        <v>1.7027163934308334</v>
      </c>
      <c r="AF48" s="45">
        <f>AE49*Parametres!$D$93</f>
        <v>1.7175805737592917</v>
      </c>
      <c r="AG48" s="45">
        <f>AF49*Parametres!$D$93</f>
        <v>1.7317015450713271</v>
      </c>
      <c r="AH48" s="45">
        <f>AG49*Parametres!$D$93</f>
        <v>1.7451164678177606</v>
      </c>
      <c r="AI48" s="45">
        <f>AH49*Parametres!$D$93</f>
        <v>1.7578606444268727</v>
      </c>
      <c r="AJ48" s="45">
        <f>AI49*Parametres!$D$93</f>
        <v>1.7699676122055288</v>
      </c>
      <c r="AK48" s="45">
        <f>AJ49*Parametres!$D$93</f>
        <v>1.7814692315952521</v>
      </c>
    </row>
    <row r="49" spans="1:37" x14ac:dyDescent="0.2">
      <c r="A49" s="37" t="s">
        <v>370</v>
      </c>
      <c r="B49" s="93">
        <f>B47</f>
        <v>15</v>
      </c>
      <c r="C49" s="94">
        <f>B49*(1-Parametres!$D$93)+C47</f>
        <v>16.25</v>
      </c>
      <c r="D49" s="94">
        <f>C49*(1-Parametres!$D$93)+D47</f>
        <v>17.4375</v>
      </c>
      <c r="E49" s="94">
        <f>D49*(1-Parametres!$D$93)+E47</f>
        <v>18.565625000000001</v>
      </c>
      <c r="F49" s="94">
        <f>E49*(1-Parametres!$D$93)+F47</f>
        <v>19.637343749999999</v>
      </c>
      <c r="G49" s="94">
        <f>F49*(1-Parametres!$D$93)+G47</f>
        <v>20.655476562499999</v>
      </c>
      <c r="H49" s="94">
        <f>G49*(1-Parametres!$D$93)+H47</f>
        <v>21.622702734374997</v>
      </c>
      <c r="I49" s="94">
        <f>H49*(1-Parametres!$D$93)+I47</f>
        <v>22.541567597656247</v>
      </c>
      <c r="J49" s="94">
        <f>I49*(1-Parametres!$D$93)+J47</f>
        <v>23.414489217773433</v>
      </c>
      <c r="K49" s="94">
        <f>J49*(1-Parametres!$D$93)+K47</f>
        <v>24.243764756884762</v>
      </c>
      <c r="L49" s="94">
        <f>K49*(1-Parametres!$D$93)+L47</f>
        <v>25.031576519040524</v>
      </c>
      <c r="M49" s="94">
        <f>L49*(1-Parametres!$D$93)+M47</f>
        <v>25.779997693088497</v>
      </c>
      <c r="N49" s="94">
        <f>M49*(1-Parametres!$D$93)+N47</f>
        <v>26.49099780843407</v>
      </c>
      <c r="O49" s="94">
        <f>N49*(1-Parametres!$D$93)+O47</f>
        <v>27.166447918012366</v>
      </c>
      <c r="P49" s="94">
        <f>O49*(1-Parametres!$D$93)+P47</f>
        <v>27.808125522111748</v>
      </c>
      <c r="Q49" s="94">
        <f>P49*(1-Parametres!$D$93)+Q47</f>
        <v>28.417719246006161</v>
      </c>
      <c r="R49" s="94">
        <f>Q49*(1-Parametres!$D$93)+R47</f>
        <v>28.99683328370585</v>
      </c>
      <c r="S49" s="94">
        <f>R49*(1-Parametres!$D$93)+S47</f>
        <v>29.546991619520558</v>
      </c>
      <c r="T49" s="94">
        <f>S49*(1-Parametres!$D$93)+T47</f>
        <v>30.069642038544529</v>
      </c>
      <c r="U49" s="94">
        <f>T49*(1-Parametres!$D$93)+U47</f>
        <v>30.5661599366173</v>
      </c>
      <c r="V49" s="94">
        <f>U49*(1-Parametres!$D$93)+V47</f>
        <v>31.037851939786435</v>
      </c>
      <c r="W49" s="94">
        <f>V49*(1-Parametres!$D$93)+W47</f>
        <v>31.485959342797113</v>
      </c>
      <c r="X49" s="94">
        <f>W49*(1-Parametres!$D$93)+X47</f>
        <v>31.911661375657257</v>
      </c>
      <c r="Y49" s="94">
        <f>X49*(1-Parametres!$D$93)+Y47</f>
        <v>32.316078306874388</v>
      </c>
      <c r="Z49" s="94">
        <f>Y49*(1-Parametres!$D$93)+Z47</f>
        <v>32.70027439153067</v>
      </c>
      <c r="AA49" s="94">
        <f>Z49*(1-Parametres!$D$93)+AA47</f>
        <v>33.065260671954135</v>
      </c>
      <c r="AB49" s="94">
        <f>AA49*(1-Parametres!$D$93)+AB47</f>
        <v>33.411997638356425</v>
      </c>
      <c r="AC49" s="94">
        <f>AB49*(1-Parametres!$D$93)+AC47</f>
        <v>33.741397756438602</v>
      </c>
      <c r="AD49" s="94">
        <f>AC49*(1-Parametres!$D$93)+AD47</f>
        <v>34.054327868616667</v>
      </c>
      <c r="AE49" s="94">
        <f>AD49*(1-Parametres!$D$93)+AE47</f>
        <v>34.351611475185834</v>
      </c>
      <c r="AF49" s="94">
        <f>AE49*(1-Parametres!$D$93)+AF47</f>
        <v>34.634030901426542</v>
      </c>
      <c r="AG49" s="94">
        <f>AF49*(1-Parametres!$D$93)+AG47</f>
        <v>34.90232935635521</v>
      </c>
      <c r="AH49" s="94">
        <f>AG49*(1-Parametres!$D$93)+AH47</f>
        <v>35.157212888537451</v>
      </c>
      <c r="AI49" s="94">
        <f>AH49*(1-Parametres!$D$93)+AI47</f>
        <v>35.399352244110574</v>
      </c>
      <c r="AJ49" s="94">
        <f>AI49*(1-Parametres!$D$93)+AJ47</f>
        <v>35.62938463190504</v>
      </c>
      <c r="AK49" s="94">
        <f>AJ49*(1-Parametres!$D$93)+AK47</f>
        <v>35.847915400309788</v>
      </c>
    </row>
    <row r="50" spans="1:37" x14ac:dyDescent="0.2">
      <c r="A50" s="39" t="s">
        <v>342</v>
      </c>
      <c r="B50" s="45">
        <f>B49*Parametres!$D$94*Parametres!$D$95</f>
        <v>12</v>
      </c>
      <c r="C50" s="45">
        <f>C49*Parametres!$D$94*Parametres!$D$95</f>
        <v>13</v>
      </c>
      <c r="D50" s="45">
        <f>D49*Parametres!$D$94*Parametres!$D$95</f>
        <v>13.950000000000001</v>
      </c>
      <c r="E50" s="45">
        <f>E49*Parametres!$D$94*Parametres!$D$95</f>
        <v>14.852500000000001</v>
      </c>
      <c r="F50" s="45">
        <f>F49*Parametres!$D$94*Parametres!$D$95</f>
        <v>15.709875</v>
      </c>
      <c r="G50" s="45">
        <f>G49*Parametres!$D$94*Parametres!$D$95</f>
        <v>16.524381250000001</v>
      </c>
      <c r="H50" s="45">
        <f>H49*Parametres!$D$94*Parametres!$D$95</f>
        <v>17.298162187499997</v>
      </c>
      <c r="I50" s="45">
        <f>I49*Parametres!$D$94*Parametres!$D$95</f>
        <v>18.033254078124997</v>
      </c>
      <c r="J50" s="45">
        <f>J49*Parametres!$D$94*Parametres!$D$95</f>
        <v>18.731591374218748</v>
      </c>
      <c r="K50" s="45">
        <f>K49*Parametres!$D$94*Parametres!$D$95</f>
        <v>19.39501180550781</v>
      </c>
      <c r="L50" s="45">
        <f>L49*Parametres!$D$94*Parametres!$D$95</f>
        <v>20.025261215232419</v>
      </c>
      <c r="M50" s="45">
        <f>M49*Parametres!$D$94*Parametres!$D$95</f>
        <v>20.623998154470797</v>
      </c>
      <c r="N50" s="45">
        <f>N49*Parametres!$D$94*Parametres!$D$95</f>
        <v>21.192798246747259</v>
      </c>
      <c r="O50" s="45">
        <f>O49*Parametres!$D$94*Parametres!$D$95</f>
        <v>21.733158334409893</v>
      </c>
      <c r="P50" s="45">
        <f>P49*Parametres!$D$94*Parametres!$D$95</f>
        <v>22.246500417689401</v>
      </c>
      <c r="Q50" s="45">
        <f>Q49*Parametres!$D$94*Parametres!$D$95</f>
        <v>22.734175396804929</v>
      </c>
      <c r="R50" s="45">
        <f>R49*Parametres!$D$94*Parametres!$D$95</f>
        <v>23.197466626964683</v>
      </c>
      <c r="S50" s="45">
        <f>S49*Parametres!$D$94*Parametres!$D$95</f>
        <v>23.637593295616448</v>
      </c>
      <c r="T50" s="45">
        <f>T49*Parametres!$D$94*Parametres!$D$95</f>
        <v>24.055713630835626</v>
      </c>
      <c r="U50" s="45">
        <f>U49*Parametres!$D$94*Parametres!$D$95</f>
        <v>24.452927949293841</v>
      </c>
      <c r="V50" s="45">
        <f>V49*Parametres!$D$94*Parametres!$D$95</f>
        <v>24.830281551829149</v>
      </c>
      <c r="W50" s="45">
        <f>W49*Parametres!$D$94*Parametres!$D$95</f>
        <v>25.188767474237693</v>
      </c>
      <c r="X50" s="45">
        <f>X49*Parametres!$D$94*Parametres!$D$95</f>
        <v>25.529329100525807</v>
      </c>
      <c r="Y50" s="45">
        <f>Y49*Parametres!$D$94*Parametres!$D$95</f>
        <v>25.852862645499513</v>
      </c>
      <c r="Z50" s="45">
        <f>Z49*Parametres!$D$94*Parametres!$D$95</f>
        <v>26.160219513224536</v>
      </c>
      <c r="AA50" s="45">
        <f>AA49*Parametres!$D$94*Parametres!$D$95</f>
        <v>26.452208537563308</v>
      </c>
      <c r="AB50" s="45">
        <f>AB49*Parametres!$D$94*Parametres!$D$95</f>
        <v>26.729598110685142</v>
      </c>
      <c r="AC50" s="45">
        <f>AC49*Parametres!$D$94*Parametres!$D$95</f>
        <v>26.993118205150882</v>
      </c>
      <c r="AD50" s="45">
        <f>AD49*Parametres!$D$94*Parametres!$D$95</f>
        <v>27.243462294893334</v>
      </c>
      <c r="AE50" s="45">
        <f>AE49*Parametres!$D$94*Parametres!$D$95</f>
        <v>27.481289180148668</v>
      </c>
      <c r="AF50" s="45">
        <f>AF49*Parametres!$D$94*Parametres!$D$95</f>
        <v>27.707224721141234</v>
      </c>
      <c r="AG50" s="45">
        <f>AG49*Parametres!$D$94*Parametres!$D$95</f>
        <v>27.92186348508417</v>
      </c>
      <c r="AH50" s="45">
        <f>AH49*Parametres!$D$94*Parametres!$D$95</f>
        <v>28.125770310829964</v>
      </c>
      <c r="AI50" s="45">
        <f>AI49*Parametres!$D$94*Parametres!$D$95</f>
        <v>28.319481795288461</v>
      </c>
      <c r="AJ50" s="45">
        <f>AJ49*Parametres!$D$94*Parametres!$D$95</f>
        <v>28.503507705524033</v>
      </c>
      <c r="AK50" s="45">
        <f>AK49*Parametres!$D$94*Parametres!$D$95</f>
        <v>28.678332320247833</v>
      </c>
    </row>
    <row r="51" spans="1:37" x14ac:dyDescent="0.2">
      <c r="A51" s="39" t="s">
        <v>371</v>
      </c>
      <c r="B51" s="45">
        <f>Parametres!$D$39*(1-IF(Parametres!$B$158=1,Parametres!$B$159,0))</f>
        <v>12</v>
      </c>
      <c r="C51" s="45">
        <f>B51*(1+IF(C8=1,0,CHOOSE(C$2,Parametres!$F$54,Parametres!$G$54,Parametres!$H$54)*C7))</f>
        <v>12.18</v>
      </c>
      <c r="D51" s="45">
        <f>C51*(1+IF(D8=1,0,CHOOSE(D$2,Parametres!$F$54,Parametres!$G$54,Parametres!$H$54)*D7))</f>
        <v>12.362699999999998</v>
      </c>
      <c r="E51" s="45">
        <f>D51*(1+IF(E8=1,0,CHOOSE(E$2,Parametres!$F$54,Parametres!$G$54,Parametres!$H$54)*E7))</f>
        <v>12.548140499999997</v>
      </c>
      <c r="F51" s="45">
        <f>E51*(1+IF(F8=1,0,CHOOSE(F$2,Parametres!$F$54,Parametres!$G$54,Parametres!$H$54)*F7))</f>
        <v>12.736362607499995</v>
      </c>
      <c r="G51" s="45">
        <f>F51*(1+IF(G8=1,0,CHOOSE(G$2,Parametres!$F$54,Parametres!$G$54,Parametres!$H$54)*G7))</f>
        <v>12.927408046612493</v>
      </c>
      <c r="H51" s="45">
        <f>G51*(1+IF(H8=1,0,CHOOSE(H$2,Parametres!$F$54,Parametres!$G$54,Parametres!$H$54)*H7))</f>
        <v>13.121319167311679</v>
      </c>
      <c r="I51" s="45">
        <f>H51*(1+IF(I8=1,0,CHOOSE(I$2,Parametres!$F$54,Parametres!$G$54,Parametres!$H$54)*I7))</f>
        <v>13.318138954821352</v>
      </c>
      <c r="J51" s="45">
        <f>I51*(1+IF(J8=1,0,CHOOSE(J$2,Parametres!$F$54,Parametres!$G$54,Parametres!$H$54)*J7))</f>
        <v>13.517911039143671</v>
      </c>
      <c r="K51" s="45">
        <f>J51*(1+IF(K8=1,0,CHOOSE(K$2,Parametres!$F$54,Parametres!$G$54,Parametres!$H$54)*K7))</f>
        <v>13.720679704730825</v>
      </c>
      <c r="L51" s="45">
        <f>K51*(1+IF(L8=1,0,CHOOSE(L$2,Parametres!$F$54,Parametres!$G$54,Parametres!$H$54)*L7))</f>
        <v>13.926489900301787</v>
      </c>
      <c r="M51" s="45">
        <f>L51*(1+IF(M8=1,0,CHOOSE(M$2,Parametres!$F$54,Parametres!$G$54,Parametres!$H$54)*M7))</f>
        <v>14.135387248806312</v>
      </c>
      <c r="N51" s="45">
        <f>M51*(1+IF(N8=1,0,CHOOSE(N$2,Parametres!$F$54,Parametres!$G$54,Parametres!$H$54)*N7))</f>
        <v>14.305011895791989</v>
      </c>
      <c r="O51" s="45">
        <f>N51*(1+IF(O8=1,0,CHOOSE(O$2,Parametres!$F$54,Parametres!$G$54,Parametres!$H$54)*O7))</f>
        <v>14.496933769899593</v>
      </c>
      <c r="P51" s="45">
        <f>O51*(1+IF(P8=1,0,CHOOSE(P$2,Parametres!$F$54,Parametres!$G$54,Parametres!$H$54)*P7))</f>
        <v>14.691430546148441</v>
      </c>
      <c r="Q51" s="45">
        <f>P51*(1+IF(Q8=1,0,CHOOSE(Q$2,Parametres!$F$54,Parametres!$G$54,Parametres!$H$54)*Q7))</f>
        <v>14.88853677047587</v>
      </c>
      <c r="R51" s="45">
        <f>Q51*(1+IF(R8=1,0,CHOOSE(R$2,Parametres!$F$54,Parametres!$G$54,Parametres!$H$54)*R7))</f>
        <v>15.088287452301605</v>
      </c>
      <c r="S51" s="45">
        <f>R51*(1+IF(S8=1,0,CHOOSE(S$2,Parametres!$F$54,Parametres!$G$54,Parametres!$H$54)*S7))</f>
        <v>15.290718070746026</v>
      </c>
      <c r="T51" s="45">
        <f>S51*(1+IF(T8=1,0,CHOOSE(T$2,Parametres!$F$54,Parametres!$G$54,Parametres!$H$54)*T7))</f>
        <v>15.495864580931862</v>
      </c>
      <c r="U51" s="45">
        <f>T51*(1+IF(U8=1,0,CHOOSE(U$2,Parametres!$F$54,Parametres!$G$54,Parametres!$H$54)*U7))</f>
        <v>15.703763420370432</v>
      </c>
      <c r="V51" s="45">
        <f>U51*(1+IF(V8=1,0,CHOOSE(V$2,Parametres!$F$54,Parametres!$G$54,Parametres!$H$54)*V7))</f>
        <v>15.914451515433569</v>
      </c>
      <c r="W51" s="45">
        <f>V51*(1+IF(W8=1,0,CHOOSE(W$2,Parametres!$F$54,Parametres!$G$54,Parametres!$H$54)*W7))</f>
        <v>16.127966287912372</v>
      </c>
      <c r="X51" s="45">
        <f>W51*(1+IF(X8=1,0,CHOOSE(X$2,Parametres!$F$54,Parametres!$G$54,Parametres!$H$54)*X7))</f>
        <v>16.344345661663954</v>
      </c>
      <c r="Y51" s="45">
        <f>X51*(1+IF(Y8=1,0,CHOOSE(Y$2,Parametres!$F$54,Parametres!$G$54,Parametres!$H$54)*Y7))</f>
        <v>16.563628069347359</v>
      </c>
      <c r="Z51" s="45">
        <f>Y51*(1+IF(Z8=1,0,CHOOSE(Z$2,Parametres!$F$54,Parametres!$G$54,Parametres!$H$54)*Z7))</f>
        <v>16.748815060932781</v>
      </c>
      <c r="AA51" s="45">
        <f>Z51*(1+IF(AA8=1,0,CHOOSE(AA$2,Parametres!$F$54,Parametres!$G$54,Parametres!$H$54)*AA7))</f>
        <v>16.953945314410419</v>
      </c>
      <c r="AB51" s="45">
        <f>AA51*(1+IF(AB8=1,0,CHOOSE(AB$2,Parametres!$F$54,Parametres!$G$54,Parametres!$H$54)*AB7))</f>
        <v>17.161587890147196</v>
      </c>
      <c r="AC51" s="45">
        <f>AB51*(1+IF(AC8=1,0,CHOOSE(AC$2,Parametres!$F$54,Parametres!$G$54,Parametres!$H$54)*AC7))</f>
        <v>17.371773557681134</v>
      </c>
      <c r="AD51" s="45">
        <f>AC51*(1+IF(AD8=1,0,CHOOSE(AD$2,Parametres!$F$54,Parametres!$G$54,Parametres!$H$54)*AD7))</f>
        <v>17.584533463398596</v>
      </c>
      <c r="AE51" s="45">
        <f>AD51*(1+IF(AE8=1,0,CHOOSE(AE$2,Parametres!$F$54,Parametres!$G$54,Parametres!$H$54)*AE7))</f>
        <v>17.799899135149708</v>
      </c>
      <c r="AF51" s="45">
        <f>AE51*(1+IF(AF8=1,0,CHOOSE(AF$2,Parametres!$F$54,Parametres!$G$54,Parametres!$H$54)*AF7))</f>
        <v>18.017902486920331</v>
      </c>
      <c r="AG51" s="45">
        <f>AF51*(1+IF(AG8=1,0,CHOOSE(AG$2,Parametres!$F$54,Parametres!$G$54,Parametres!$H$54)*AG7))</f>
        <v>18.238575823561227</v>
      </c>
      <c r="AH51" s="45">
        <f>AG51*(1+IF(AH8=1,0,CHOOSE(AH$2,Parametres!$F$54,Parametres!$G$54,Parametres!$H$54)*AH7))</f>
        <v>18.461951845575161</v>
      </c>
      <c r="AI51" s="45">
        <f>AH51*(1+IF(AI8=1,0,CHOOSE(AI$2,Parametres!$F$54,Parametres!$G$54,Parametres!$H$54)*AI7))</f>
        <v>18.688063653962629</v>
      </c>
      <c r="AJ51" s="45">
        <f>AI51*(1+IF(AJ8=1,0,CHOOSE(AJ$2,Parametres!$F$54,Parametres!$G$54,Parametres!$H$54)*AJ7))</f>
        <v>18.916944755126934</v>
      </c>
      <c r="AK51" s="45">
        <f>AJ51*(1+IF(AK8=1,0,CHOOSE(AK$2,Parametres!$F$54,Parametres!$G$54,Parametres!$H$54)*AK7))</f>
        <v>19.148629065839334</v>
      </c>
    </row>
    <row r="52" spans="1:37" x14ac:dyDescent="0.2">
      <c r="A52" s="37" t="s">
        <v>372</v>
      </c>
      <c r="B52" s="93">
        <f t="shared" ref="B52:AK52" si="9">MIN(B51,B50)</f>
        <v>12</v>
      </c>
      <c r="C52" s="93">
        <f t="shared" si="9"/>
        <v>12.18</v>
      </c>
      <c r="D52" s="93">
        <f t="shared" si="9"/>
        <v>12.362699999999998</v>
      </c>
      <c r="E52" s="93">
        <f t="shared" si="9"/>
        <v>12.548140499999997</v>
      </c>
      <c r="F52" s="93">
        <f t="shared" si="9"/>
        <v>12.736362607499995</v>
      </c>
      <c r="G52" s="93">
        <f t="shared" si="9"/>
        <v>12.927408046612493</v>
      </c>
      <c r="H52" s="93">
        <f t="shared" si="9"/>
        <v>13.121319167311679</v>
      </c>
      <c r="I52" s="93">
        <f t="shared" si="9"/>
        <v>13.318138954821352</v>
      </c>
      <c r="J52" s="93">
        <f t="shared" si="9"/>
        <v>13.517911039143671</v>
      </c>
      <c r="K52" s="93">
        <f t="shared" si="9"/>
        <v>13.720679704730825</v>
      </c>
      <c r="L52" s="93">
        <f t="shared" si="9"/>
        <v>13.926489900301787</v>
      </c>
      <c r="M52" s="93">
        <f t="shared" si="9"/>
        <v>14.135387248806312</v>
      </c>
      <c r="N52" s="93">
        <f t="shared" si="9"/>
        <v>14.305011895791989</v>
      </c>
      <c r="O52" s="93">
        <f t="shared" si="9"/>
        <v>14.496933769899593</v>
      </c>
      <c r="P52" s="93">
        <f t="shared" si="9"/>
        <v>14.691430546148441</v>
      </c>
      <c r="Q52" s="93">
        <f t="shared" si="9"/>
        <v>14.88853677047587</v>
      </c>
      <c r="R52" s="93">
        <f t="shared" si="9"/>
        <v>15.088287452301605</v>
      </c>
      <c r="S52" s="93">
        <f t="shared" si="9"/>
        <v>15.290718070746026</v>
      </c>
      <c r="T52" s="93">
        <f t="shared" si="9"/>
        <v>15.495864580931862</v>
      </c>
      <c r="U52" s="93">
        <f t="shared" si="9"/>
        <v>15.703763420370432</v>
      </c>
      <c r="V52" s="93">
        <f t="shared" si="9"/>
        <v>15.914451515433569</v>
      </c>
      <c r="W52" s="93">
        <f t="shared" si="9"/>
        <v>16.127966287912372</v>
      </c>
      <c r="X52" s="93">
        <f t="shared" si="9"/>
        <v>16.344345661663954</v>
      </c>
      <c r="Y52" s="93">
        <f t="shared" si="9"/>
        <v>16.563628069347359</v>
      </c>
      <c r="Z52" s="93">
        <f t="shared" si="9"/>
        <v>16.748815060932781</v>
      </c>
      <c r="AA52" s="93">
        <f t="shared" si="9"/>
        <v>16.953945314410419</v>
      </c>
      <c r="AB52" s="93">
        <f t="shared" si="9"/>
        <v>17.161587890147196</v>
      </c>
      <c r="AC52" s="93">
        <f t="shared" si="9"/>
        <v>17.371773557681134</v>
      </c>
      <c r="AD52" s="93">
        <f t="shared" si="9"/>
        <v>17.584533463398596</v>
      </c>
      <c r="AE52" s="93">
        <f t="shared" si="9"/>
        <v>17.799899135149708</v>
      </c>
      <c r="AF52" s="93">
        <f t="shared" si="9"/>
        <v>18.017902486920331</v>
      </c>
      <c r="AG52" s="93">
        <f t="shared" si="9"/>
        <v>18.238575823561227</v>
      </c>
      <c r="AH52" s="93">
        <f t="shared" si="9"/>
        <v>18.461951845575161</v>
      </c>
      <c r="AI52" s="93">
        <f t="shared" si="9"/>
        <v>18.688063653962629</v>
      </c>
      <c r="AJ52" s="93">
        <f t="shared" si="9"/>
        <v>18.916944755126934</v>
      </c>
      <c r="AK52" s="93">
        <f t="shared" si="9"/>
        <v>19.148629065839334</v>
      </c>
    </row>
    <row r="53" spans="1:37" x14ac:dyDescent="0.2">
      <c r="A53" s="39" t="s">
        <v>348</v>
      </c>
      <c r="B53" s="92">
        <f t="shared" ref="B53:AK53" si="10">B51-B52</f>
        <v>0</v>
      </c>
      <c r="C53" s="92">
        <f t="shared" si="10"/>
        <v>0</v>
      </c>
      <c r="D53" s="92">
        <f t="shared" si="10"/>
        <v>0</v>
      </c>
      <c r="E53" s="92">
        <f t="shared" si="10"/>
        <v>0</v>
      </c>
      <c r="F53" s="92">
        <f t="shared" si="10"/>
        <v>0</v>
      </c>
      <c r="G53" s="92">
        <f t="shared" si="10"/>
        <v>0</v>
      </c>
      <c r="H53" s="92">
        <f t="shared" si="10"/>
        <v>0</v>
      </c>
      <c r="I53" s="92">
        <f t="shared" si="10"/>
        <v>0</v>
      </c>
      <c r="J53" s="92">
        <f t="shared" si="10"/>
        <v>0</v>
      </c>
      <c r="K53" s="92">
        <f t="shared" si="10"/>
        <v>0</v>
      </c>
      <c r="L53" s="92">
        <f t="shared" si="10"/>
        <v>0</v>
      </c>
      <c r="M53" s="92">
        <f t="shared" si="10"/>
        <v>0</v>
      </c>
      <c r="N53" s="92">
        <f t="shared" si="10"/>
        <v>0</v>
      </c>
      <c r="O53" s="92">
        <f t="shared" si="10"/>
        <v>0</v>
      </c>
      <c r="P53" s="92">
        <f t="shared" si="10"/>
        <v>0</v>
      </c>
      <c r="Q53" s="92">
        <f t="shared" si="10"/>
        <v>0</v>
      </c>
      <c r="R53" s="92">
        <f t="shared" si="10"/>
        <v>0</v>
      </c>
      <c r="S53" s="92">
        <f t="shared" si="10"/>
        <v>0</v>
      </c>
      <c r="T53" s="92">
        <f t="shared" si="10"/>
        <v>0</v>
      </c>
      <c r="U53" s="92">
        <f t="shared" si="10"/>
        <v>0</v>
      </c>
      <c r="V53" s="92">
        <f t="shared" si="10"/>
        <v>0</v>
      </c>
      <c r="W53" s="92">
        <f t="shared" si="10"/>
        <v>0</v>
      </c>
      <c r="X53" s="92">
        <f t="shared" si="10"/>
        <v>0</v>
      </c>
      <c r="Y53" s="92">
        <f t="shared" si="10"/>
        <v>0</v>
      </c>
      <c r="Z53" s="92">
        <f t="shared" si="10"/>
        <v>0</v>
      </c>
      <c r="AA53" s="92">
        <f t="shared" si="10"/>
        <v>0</v>
      </c>
      <c r="AB53" s="92">
        <f t="shared" si="10"/>
        <v>0</v>
      </c>
      <c r="AC53" s="92">
        <f t="shared" si="10"/>
        <v>0</v>
      </c>
      <c r="AD53" s="92">
        <f t="shared" si="10"/>
        <v>0</v>
      </c>
      <c r="AE53" s="92">
        <f t="shared" si="10"/>
        <v>0</v>
      </c>
      <c r="AF53" s="92">
        <f t="shared" si="10"/>
        <v>0</v>
      </c>
      <c r="AG53" s="92">
        <f t="shared" si="10"/>
        <v>0</v>
      </c>
      <c r="AH53" s="92">
        <f t="shared" si="10"/>
        <v>0</v>
      </c>
      <c r="AI53" s="92">
        <f t="shared" si="10"/>
        <v>0</v>
      </c>
      <c r="AJ53" s="92">
        <f t="shared" si="10"/>
        <v>0</v>
      </c>
      <c r="AK53" s="92">
        <f t="shared" si="10"/>
        <v>0</v>
      </c>
    </row>
    <row r="54" spans="1:37" x14ac:dyDescent="0.2">
      <c r="A54" s="39" t="s">
        <v>349</v>
      </c>
      <c r="B54" s="42">
        <f>IF(B49*Parametres!$D$94=0,0,B52/(B49*Parametres!$D$94))</f>
        <v>0.8</v>
      </c>
      <c r="C54" s="42">
        <f>IF(C49*Parametres!$D$94=0,0,C52/(C49*Parametres!$D$94))</f>
        <v>0.74953846153846149</v>
      </c>
      <c r="D54" s="42">
        <f>IF(D49*Parametres!$D$94=0,0,D52/(D49*Parametres!$D$94))</f>
        <v>0.70897204301075256</v>
      </c>
      <c r="E54" s="42">
        <f>IF(E49*Parametres!$D$94=0,0,E52/(E49*Parametres!$D$94))</f>
        <v>0.67588031644504276</v>
      </c>
      <c r="F54" s="42">
        <f>IF(F49*Parametres!$D$94=0,0,F52/(F49*Parametres!$D$94))</f>
        <v>0.64857868608120661</v>
      </c>
      <c r="G54" s="42">
        <f>IF(G49*Parametres!$D$94=0,0,G52/(G49*Parametres!$D$94))</f>
        <v>0.62585861950443655</v>
      </c>
      <c r="H54" s="42">
        <f>IF(H49*Parametres!$D$94=0,0,H52/(H49*Parametres!$D$94))</f>
        <v>0.60683066906579985</v>
      </c>
      <c r="I54" s="42">
        <f>IF(I49*Parametres!$D$94=0,0,I52/(I49*Parametres!$D$94))</f>
        <v>0.59082576653657848</v>
      </c>
      <c r="J54" s="42">
        <f>IF(J49*Parametres!$D$94=0,0,J52/(J49*Parametres!$D$94))</f>
        <v>0.57733102411145132</v>
      </c>
      <c r="K54" s="42">
        <f>IF(K49*Parametres!$D$94=0,0,K52/(K49*Parametres!$D$94))</f>
        <v>0.56594674310368476</v>
      </c>
      <c r="L54" s="42">
        <f>IF(L49*Parametres!$D$94=0,0,L52/(L49*Parametres!$D$94))</f>
        <v>0.55635688346311152</v>
      </c>
      <c r="M54" s="42">
        <f>IF(M49*Parametres!$D$94=0,0,M52/(M49*Parametres!$D$94))</f>
        <v>0.54830832093503046</v>
      </c>
      <c r="N54" s="42">
        <f>IF(N49*Parametres!$D$94=0,0,N52/(N49*Parametres!$D$94))</f>
        <v>0.53999520890970865</v>
      </c>
      <c r="O54" s="42">
        <f>IF(O49*Parametres!$D$94=0,0,O52/(O49*Parametres!$D$94))</f>
        <v>0.5336337607938646</v>
      </c>
      <c r="P54" s="42">
        <f>IF(P49*Parametres!$D$94=0,0,P52/(P49*Parametres!$D$94))</f>
        <v>0.52831430635144705</v>
      </c>
      <c r="Q54" s="42">
        <f>IF(Q49*Parametres!$D$94=0,0,Q52/(Q49*Parametres!$D$94))</f>
        <v>0.52391737146774409</v>
      </c>
      <c r="R54" s="42">
        <f>IF(R49*Parametres!$D$94=0,0,R52/(R49*Parametres!$D$94))</f>
        <v>0.52034259412665396</v>
      </c>
      <c r="S54" s="42">
        <f>IF(S49*Parametres!$D$94=0,0,S52/(S49*Parametres!$D$94))</f>
        <v>0.51750507353324049</v>
      </c>
      <c r="T54" s="42">
        <f>IF(T49*Parametres!$D$94=0,0,T52/(T49*Parametres!$D$94))</f>
        <v>0.51533252577694844</v>
      </c>
      <c r="U54" s="42">
        <f>IF(U49*Parametres!$D$94=0,0,U52/(U49*Parametres!$D$94))</f>
        <v>0.51376304556850194</v>
      </c>
      <c r="V54" s="42">
        <f>IF(V49*Parametres!$D$94=0,0,V52/(V49*Parametres!$D$94))</f>
        <v>0.51274332857530458</v>
      </c>
      <c r="W54" s="42">
        <f>IF(W49*Parametres!$D$94=0,0,W52/(W49*Parametres!$D$94))</f>
        <v>0.51222724746361858</v>
      </c>
      <c r="X54" s="42">
        <f>IF(X49*Parametres!$D$94=0,0,X52/(X49*Parametres!$D$94))</f>
        <v>0.51217470219622263</v>
      </c>
      <c r="Y54" s="42">
        <f>IF(Y49*Parametres!$D$94=0,0,Y52/(Y49*Parametres!$D$94))</f>
        <v>0.51255068489618949</v>
      </c>
      <c r="Z54" s="42">
        <f>IF(Z49*Parametres!$D$94=0,0,Z52/(Z49*Parametres!$D$94))</f>
        <v>0.51219188134001414</v>
      </c>
      <c r="AA54" s="42">
        <f>IF(AA49*Parametres!$D$94=0,0,AA52/(AA49*Parametres!$D$94))</f>
        <v>0.51274192218271875</v>
      </c>
      <c r="AB54" s="42">
        <f>IF(AB49*Parametres!$D$94=0,0,AB52/(AB49*Parametres!$D$94))</f>
        <v>0.51363549333087388</v>
      </c>
      <c r="AC54" s="42">
        <f>IF(AC49*Parametres!$D$94=0,0,AC52/(AC49*Parametres!$D$94))</f>
        <v>0.51485044226913268</v>
      </c>
      <c r="AD54" s="42">
        <f>IF(AD49*Parametres!$D$94=0,0,AD52/(AD49*Parametres!$D$94))</f>
        <v>0.51636706885658179</v>
      </c>
      <c r="AE54" s="42">
        <f>IF(AE49*Parametres!$D$94=0,0,AE52/(AE49*Parametres!$D$94))</f>
        <v>0.51816780554844155</v>
      </c>
      <c r="AF54" s="42">
        <f>IF(AF49*Parametres!$D$94=0,0,AF52/(AF49*Parametres!$D$94))</f>
        <v>0.52023694666675924</v>
      </c>
      <c r="AG54" s="42">
        <f>IF(AG49*Parametres!$D$94=0,0,AG52/(AG49*Parametres!$D$94))</f>
        <v>0.52256041816991927</v>
      </c>
      <c r="AH54" s="42">
        <f>IF(AH49*Parametres!$D$94=0,0,AH52/(AH49*Parametres!$D$94))</f>
        <v>0.52512558103246121</v>
      </c>
      <c r="AI54" s="42">
        <f>IF(AI49*Parametres!$D$94=0,0,AI52/(AI49*Parametres!$D$94))</f>
        <v>0.52792106265367555</v>
      </c>
      <c r="AJ54" s="42">
        <f>IF(AJ49*Parametres!$D$94=0,0,AJ52/(AJ49*Parametres!$D$94))</f>
        <v>0.53093661174791607</v>
      </c>
      <c r="AK54" s="42">
        <f>IF(AK49*Parametres!$D$94=0,0,AK52/(AK49*Parametres!$D$94))</f>
        <v>0.53416297299323179</v>
      </c>
    </row>
    <row r="55" spans="1:37" x14ac:dyDescent="0.2">
      <c r="A55" s="39" t="s">
        <v>350</v>
      </c>
      <c r="B55" s="58">
        <f>Parametres!$D$40*(1+Parametres!$D$46)^(B$2-1)</f>
        <v>10000</v>
      </c>
      <c r="C55" s="58">
        <f>Parametres!$D$40*(1+Parametres!$D$46)^(C$2-1)</f>
        <v>10000</v>
      </c>
      <c r="D55" s="58">
        <f>Parametres!$D$40*(1+Parametres!$D$46)^(D$2-1)</f>
        <v>10000</v>
      </c>
      <c r="E55" s="58">
        <f>Parametres!$D$40*(1+Parametres!$D$46)^(E$2-1)</f>
        <v>10000</v>
      </c>
      <c r="F55" s="58">
        <f>Parametres!$D$40*(1+Parametres!$D$46)^(F$2-1)</f>
        <v>10000</v>
      </c>
      <c r="G55" s="58">
        <f>Parametres!$D$40*(1+Parametres!$D$46)^(G$2-1)</f>
        <v>10000</v>
      </c>
      <c r="H55" s="58">
        <f>Parametres!$D$40*(1+Parametres!$D$46)^(H$2-1)</f>
        <v>10000</v>
      </c>
      <c r="I55" s="58">
        <f>Parametres!$D$40*(1+Parametres!$D$46)^(I$2-1)</f>
        <v>10000</v>
      </c>
      <c r="J55" s="58">
        <f>Parametres!$D$40*(1+Parametres!$D$46)^(J$2-1)</f>
        <v>10000</v>
      </c>
      <c r="K55" s="58">
        <f>Parametres!$D$40*(1+Parametres!$D$46)^(K$2-1)</f>
        <v>10000</v>
      </c>
      <c r="L55" s="58">
        <f>Parametres!$D$40*(1+Parametres!$D$46)^(L$2-1)</f>
        <v>10000</v>
      </c>
      <c r="M55" s="58">
        <f>Parametres!$D$40*(1+Parametres!$D$46)^(M$2-1)</f>
        <v>10000</v>
      </c>
      <c r="N55" s="58">
        <f>Parametres!$D$40*(1+Parametres!$D$46)^(N$2-1)</f>
        <v>10800</v>
      </c>
      <c r="O55" s="58">
        <f>Parametres!$D$40*(1+Parametres!$D$46)^(O$2-1)</f>
        <v>10800</v>
      </c>
      <c r="P55" s="58">
        <f>Parametres!$D$40*(1+Parametres!$D$46)^(P$2-1)</f>
        <v>10800</v>
      </c>
      <c r="Q55" s="58">
        <f>Parametres!$D$40*(1+Parametres!$D$46)^(Q$2-1)</f>
        <v>10800</v>
      </c>
      <c r="R55" s="58">
        <f>Parametres!$D$40*(1+Parametres!$D$46)^(R$2-1)</f>
        <v>10800</v>
      </c>
      <c r="S55" s="58">
        <f>Parametres!$D$40*(1+Parametres!$D$46)^(S$2-1)</f>
        <v>10800</v>
      </c>
      <c r="T55" s="58">
        <f>Parametres!$D$40*(1+Parametres!$D$46)^(T$2-1)</f>
        <v>10800</v>
      </c>
      <c r="U55" s="58">
        <f>Parametres!$D$40*(1+Parametres!$D$46)^(U$2-1)</f>
        <v>10800</v>
      </c>
      <c r="V55" s="58">
        <f>Parametres!$D$40*(1+Parametres!$D$46)^(V$2-1)</f>
        <v>10800</v>
      </c>
      <c r="W55" s="58">
        <f>Parametres!$D$40*(1+Parametres!$D$46)^(W$2-1)</f>
        <v>10800</v>
      </c>
      <c r="X55" s="58">
        <f>Parametres!$D$40*(1+Parametres!$D$46)^(X$2-1)</f>
        <v>10800</v>
      </c>
      <c r="Y55" s="58">
        <f>Parametres!$D$40*(1+Parametres!$D$46)^(Y$2-1)</f>
        <v>10800</v>
      </c>
      <c r="Z55" s="58">
        <f>Parametres!$D$40*(1+Parametres!$D$46)^(Z$2-1)</f>
        <v>11664.000000000002</v>
      </c>
      <c r="AA55" s="58">
        <f>Parametres!$D$40*(1+Parametres!$D$46)^(AA$2-1)</f>
        <v>11664.000000000002</v>
      </c>
      <c r="AB55" s="58">
        <f>Parametres!$D$40*(1+Parametres!$D$46)^(AB$2-1)</f>
        <v>11664.000000000002</v>
      </c>
      <c r="AC55" s="58">
        <f>Parametres!$D$40*(1+Parametres!$D$46)^(AC$2-1)</f>
        <v>11664.000000000002</v>
      </c>
      <c r="AD55" s="58">
        <f>Parametres!$D$40*(1+Parametres!$D$46)^(AD$2-1)</f>
        <v>11664.000000000002</v>
      </c>
      <c r="AE55" s="58">
        <f>Parametres!$D$40*(1+Parametres!$D$46)^(AE$2-1)</f>
        <v>11664.000000000002</v>
      </c>
      <c r="AF55" s="58">
        <f>Parametres!$D$40*(1+Parametres!$D$46)^(AF$2-1)</f>
        <v>11664.000000000002</v>
      </c>
      <c r="AG55" s="58">
        <f>Parametres!$D$40*(1+Parametres!$D$46)^(AG$2-1)</f>
        <v>11664.000000000002</v>
      </c>
      <c r="AH55" s="58">
        <f>Parametres!$D$40*(1+Parametres!$D$46)^(AH$2-1)</f>
        <v>11664.000000000002</v>
      </c>
      <c r="AI55" s="58">
        <f>Parametres!$D$40*(1+Parametres!$D$46)^(AI$2-1)</f>
        <v>11664.000000000002</v>
      </c>
      <c r="AJ55" s="58">
        <f>Parametres!$D$40*(1+Parametres!$D$46)^(AJ$2-1)</f>
        <v>11664.000000000002</v>
      </c>
      <c r="AK55" s="58">
        <f>Parametres!$D$40*(1+Parametres!$D$46)^(AK$2-1)</f>
        <v>11664.000000000002</v>
      </c>
    </row>
    <row r="56" spans="1:37" x14ac:dyDescent="0.2">
      <c r="A56" s="37" t="s">
        <v>373</v>
      </c>
      <c r="B56" s="95">
        <f t="shared" ref="B56:AK56" si="11">B52*B55</f>
        <v>120000</v>
      </c>
      <c r="C56" s="95">
        <f t="shared" si="11"/>
        <v>121800</v>
      </c>
      <c r="D56" s="95">
        <f t="shared" si="11"/>
        <v>123626.99999999999</v>
      </c>
      <c r="E56" s="95">
        <f t="shared" si="11"/>
        <v>125481.40499999997</v>
      </c>
      <c r="F56" s="95">
        <f t="shared" si="11"/>
        <v>127363.62607499995</v>
      </c>
      <c r="G56" s="95">
        <f t="shared" si="11"/>
        <v>129274.08046612493</v>
      </c>
      <c r="H56" s="95">
        <f t="shared" si="11"/>
        <v>131213.19167311679</v>
      </c>
      <c r="I56" s="95">
        <f t="shared" si="11"/>
        <v>133181.38954821351</v>
      </c>
      <c r="J56" s="95">
        <f t="shared" si="11"/>
        <v>135179.1103914367</v>
      </c>
      <c r="K56" s="95">
        <f t="shared" si="11"/>
        <v>137206.79704730824</v>
      </c>
      <c r="L56" s="95">
        <f t="shared" si="11"/>
        <v>139264.89900301787</v>
      </c>
      <c r="M56" s="95">
        <f t="shared" si="11"/>
        <v>141353.87248806312</v>
      </c>
      <c r="N56" s="95">
        <f t="shared" si="11"/>
        <v>154494.12847455346</v>
      </c>
      <c r="O56" s="95">
        <f t="shared" si="11"/>
        <v>156566.88471491562</v>
      </c>
      <c r="P56" s="95">
        <f t="shared" si="11"/>
        <v>158667.44989840317</v>
      </c>
      <c r="Q56" s="95">
        <f t="shared" si="11"/>
        <v>160796.19712113938</v>
      </c>
      <c r="R56" s="95">
        <f t="shared" si="11"/>
        <v>162953.50448485735</v>
      </c>
      <c r="S56" s="95">
        <f t="shared" si="11"/>
        <v>165139.75516405707</v>
      </c>
      <c r="T56" s="95">
        <f t="shared" si="11"/>
        <v>167355.33747406412</v>
      </c>
      <c r="U56" s="95">
        <f t="shared" si="11"/>
        <v>169600.64494000067</v>
      </c>
      <c r="V56" s="95">
        <f t="shared" si="11"/>
        <v>171876.07636668254</v>
      </c>
      <c r="W56" s="95">
        <f t="shared" si="11"/>
        <v>174182.03590945361</v>
      </c>
      <c r="X56" s="95">
        <f t="shared" si="11"/>
        <v>176518.93314597072</v>
      </c>
      <c r="Y56" s="95">
        <f t="shared" si="11"/>
        <v>178887.18314895147</v>
      </c>
      <c r="Z56" s="95">
        <f t="shared" si="11"/>
        <v>195358.17887072</v>
      </c>
      <c r="AA56" s="95">
        <f t="shared" si="11"/>
        <v>197750.81814728316</v>
      </c>
      <c r="AB56" s="95">
        <f t="shared" si="11"/>
        <v>200172.76115067693</v>
      </c>
      <c r="AC56" s="95">
        <f t="shared" si="11"/>
        <v>202624.36677679277</v>
      </c>
      <c r="AD56" s="95">
        <f t="shared" si="11"/>
        <v>205105.99831708125</v>
      </c>
      <c r="AE56" s="95">
        <f t="shared" si="11"/>
        <v>207618.02351238622</v>
      </c>
      <c r="AF56" s="95">
        <f t="shared" si="11"/>
        <v>210160.81460743878</v>
      </c>
      <c r="AG56" s="95">
        <f t="shared" si="11"/>
        <v>212734.74840601819</v>
      </c>
      <c r="AH56" s="95">
        <f t="shared" si="11"/>
        <v>215340.2063267887</v>
      </c>
      <c r="AI56" s="95">
        <f t="shared" si="11"/>
        <v>217977.57445982014</v>
      </c>
      <c r="AJ56" s="95">
        <f t="shared" si="11"/>
        <v>220647.2436238006</v>
      </c>
      <c r="AK56" s="95">
        <f t="shared" si="11"/>
        <v>223349.60942395002</v>
      </c>
    </row>
    <row r="57" spans="1:37" x14ac:dyDescent="0.2">
      <c r="A57" s="37" t="s">
        <v>374</v>
      </c>
      <c r="B57" s="96">
        <f>B56*Parametres!$D$41</f>
        <v>15600</v>
      </c>
      <c r="C57" s="96">
        <f>C56*Parametres!$D$41</f>
        <v>15834</v>
      </c>
      <c r="D57" s="96">
        <f>D56*Parametres!$D$41</f>
        <v>16071.509999999998</v>
      </c>
      <c r="E57" s="96">
        <f>E56*Parametres!$D$41</f>
        <v>16312.582649999997</v>
      </c>
      <c r="F57" s="96">
        <f>F56*Parametres!$D$41</f>
        <v>16557.271389749993</v>
      </c>
      <c r="G57" s="96">
        <f>G56*Parametres!$D$41</f>
        <v>16805.63046059624</v>
      </c>
      <c r="H57" s="96">
        <f>H56*Parametres!$D$41</f>
        <v>17057.714917505182</v>
      </c>
      <c r="I57" s="96">
        <f>I56*Parametres!$D$41</f>
        <v>17313.580641267756</v>
      </c>
      <c r="J57" s="96">
        <f>J56*Parametres!$D$41</f>
        <v>17573.28435088677</v>
      </c>
      <c r="K57" s="96">
        <f>K56*Parametres!$D$41</f>
        <v>17836.883616150073</v>
      </c>
      <c r="L57" s="96">
        <f>L56*Parametres!$D$41</f>
        <v>18104.436870392325</v>
      </c>
      <c r="M57" s="96">
        <f>M56*Parametres!$D$41</f>
        <v>18376.003423448205</v>
      </c>
      <c r="N57" s="96">
        <f>N56*Parametres!$D$41</f>
        <v>20084.236701691952</v>
      </c>
      <c r="O57" s="96">
        <f>O56*Parametres!$D$41</f>
        <v>20353.695012939032</v>
      </c>
      <c r="P57" s="96">
        <f>P56*Parametres!$D$41</f>
        <v>20626.768486792411</v>
      </c>
      <c r="Q57" s="96">
        <f>Q56*Parametres!$D$41</f>
        <v>20903.505625748119</v>
      </c>
      <c r="R57" s="96">
        <f>R56*Parametres!$D$41</f>
        <v>21183.955583031457</v>
      </c>
      <c r="S57" s="96">
        <f>S56*Parametres!$D$41</f>
        <v>21468.168171327419</v>
      </c>
      <c r="T57" s="96">
        <f>T56*Parametres!$D$41</f>
        <v>21756.193871628337</v>
      </c>
      <c r="U57" s="96">
        <f>U56*Parametres!$D$41</f>
        <v>22048.083842200089</v>
      </c>
      <c r="V57" s="96">
        <f>V56*Parametres!$D$41</f>
        <v>22343.88992766873</v>
      </c>
      <c r="W57" s="96">
        <f>W56*Parametres!$D$41</f>
        <v>22643.664668228968</v>
      </c>
      <c r="X57" s="96">
        <f>X56*Parametres!$D$41</f>
        <v>22947.461308976195</v>
      </c>
      <c r="Y57" s="96">
        <f>Y56*Parametres!$D$41</f>
        <v>23255.333809363692</v>
      </c>
      <c r="Z57" s="96">
        <f>Z56*Parametres!$D$41</f>
        <v>25396.563253193603</v>
      </c>
      <c r="AA57" s="96">
        <f>AA56*Parametres!$D$41</f>
        <v>25707.606359146812</v>
      </c>
      <c r="AB57" s="96">
        <f>AB56*Parametres!$D$41</f>
        <v>26022.458949588003</v>
      </c>
      <c r="AC57" s="96">
        <f>AC56*Parametres!$D$41</f>
        <v>26341.167680983061</v>
      </c>
      <c r="AD57" s="96">
        <f>AD56*Parametres!$D$41</f>
        <v>26663.779781220564</v>
      </c>
      <c r="AE57" s="96">
        <f>AE56*Parametres!$D$41</f>
        <v>26990.343056610211</v>
      </c>
      <c r="AF57" s="96">
        <f>AF56*Parametres!$D$41</f>
        <v>27320.905898967041</v>
      </c>
      <c r="AG57" s="96">
        <f>AG56*Parametres!$D$41</f>
        <v>27655.517292782366</v>
      </c>
      <c r="AH57" s="96">
        <f>AH56*Parametres!$D$41</f>
        <v>27994.226822482531</v>
      </c>
      <c r="AI57" s="96">
        <f>AI56*Parametres!$D$41</f>
        <v>28337.084679776621</v>
      </c>
      <c r="AJ57" s="96">
        <f>AJ56*Parametres!$D$41</f>
        <v>28684.141671094079</v>
      </c>
      <c r="AK57" s="96">
        <f>AK56*Parametres!$D$41</f>
        <v>29035.449225113505</v>
      </c>
    </row>
    <row r="58" spans="1:37" x14ac:dyDescent="0.2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</row>
    <row r="59" spans="1:37" ht="18" customHeight="1" x14ac:dyDescent="0.2">
      <c r="A59" s="40" t="s">
        <v>375</v>
      </c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</row>
    <row r="60" spans="1:37" x14ac:dyDescent="0.2">
      <c r="A60" s="37" t="s">
        <v>376</v>
      </c>
      <c r="B60" s="95">
        <f t="shared" ref="B60:AK60" si="12">B23+B43+B56</f>
        <v>2970000</v>
      </c>
      <c r="C60" s="95">
        <f t="shared" si="12"/>
        <v>3028350</v>
      </c>
      <c r="D60" s="95">
        <f t="shared" si="12"/>
        <v>3087849.9</v>
      </c>
      <c r="E60" s="95">
        <f t="shared" si="12"/>
        <v>3148522.4172000005</v>
      </c>
      <c r="F60" s="95">
        <f t="shared" si="12"/>
        <v>3210390.7184946006</v>
      </c>
      <c r="G60" s="95">
        <f t="shared" si="12"/>
        <v>3273478.4293892784</v>
      </c>
      <c r="H60" s="95">
        <f t="shared" si="12"/>
        <v>3337809.643093687</v>
      </c>
      <c r="I60" s="95">
        <f t="shared" si="12"/>
        <v>3403408.9297954906</v>
      </c>
      <c r="J60" s="95">
        <f t="shared" si="12"/>
        <v>3470301.346118323</v>
      </c>
      <c r="K60" s="95">
        <f t="shared" si="12"/>
        <v>3538512.4447675408</v>
      </c>
      <c r="L60" s="95">
        <f t="shared" si="12"/>
        <v>3608068.2843674812</v>
      </c>
      <c r="M60" s="95">
        <f t="shared" si="12"/>
        <v>3678995.4394940599</v>
      </c>
      <c r="N60" s="95">
        <f t="shared" si="12"/>
        <v>4050968.7052322244</v>
      </c>
      <c r="O60" s="95">
        <f t="shared" si="12"/>
        <v>4139496.2049496495</v>
      </c>
      <c r="P60" s="95">
        <f t="shared" si="12"/>
        <v>4229971.1550351083</v>
      </c>
      <c r="Q60" s="95">
        <f t="shared" si="12"/>
        <v>4322436.58047581</v>
      </c>
      <c r="R60" s="95">
        <f t="shared" si="12"/>
        <v>4416936.4595039627</v>
      </c>
      <c r="S60" s="95">
        <f t="shared" si="12"/>
        <v>4513515.7447568048</v>
      </c>
      <c r="T60" s="95">
        <f t="shared" si="12"/>
        <v>4612220.38490697</v>
      </c>
      <c r="U60" s="95">
        <f t="shared" si="12"/>
        <v>4713097.346773643</v>
      </c>
      <c r="V60" s="95">
        <f t="shared" si="12"/>
        <v>4816194.6379252085</v>
      </c>
      <c r="W60" s="95">
        <f t="shared" si="12"/>
        <v>4921561.3297843318</v>
      </c>
      <c r="X60" s="95">
        <f t="shared" si="12"/>
        <v>5029247.5812466349</v>
      </c>
      <c r="Y60" s="95">
        <f t="shared" si="12"/>
        <v>5139304.6628244137</v>
      </c>
      <c r="Z60" s="95">
        <f t="shared" si="12"/>
        <v>5671495.7756192666</v>
      </c>
      <c r="AA60" s="95">
        <f t="shared" si="12"/>
        <v>5808025.8436288787</v>
      </c>
      <c r="AB60" s="95">
        <f t="shared" si="12"/>
        <v>5947870.8979233708</v>
      </c>
      <c r="AC60" s="95">
        <f t="shared" si="12"/>
        <v>6091111.7798558734</v>
      </c>
      <c r="AD60" s="95">
        <f t="shared" si="12"/>
        <v>6237831.3065846134</v>
      </c>
      <c r="AE60" s="95">
        <f t="shared" si="12"/>
        <v>6388114.3194162166</v>
      </c>
      <c r="AF60" s="95">
        <f t="shared" si="12"/>
        <v>6542047.7333325278</v>
      </c>
      <c r="AG60" s="95">
        <f t="shared" si="12"/>
        <v>6699720.5877299085</v>
      </c>
      <c r="AH60" s="95">
        <f t="shared" si="12"/>
        <v>6861224.0984007148</v>
      </c>
      <c r="AI60" s="95">
        <f t="shared" si="12"/>
        <v>7026651.7107873773</v>
      </c>
      <c r="AJ60" s="95">
        <f t="shared" si="12"/>
        <v>7196099.1545402333</v>
      </c>
      <c r="AK60" s="95">
        <f t="shared" si="12"/>
        <v>7369664.499411054</v>
      </c>
    </row>
    <row r="61" spans="1:37" x14ac:dyDescent="0.2">
      <c r="A61" s="37" t="s">
        <v>377</v>
      </c>
      <c r="B61" s="95">
        <f t="shared" ref="B61:AK61" si="13">B17+B31</f>
        <v>1020000</v>
      </c>
      <c r="C61" s="95">
        <f t="shared" si="13"/>
        <v>1073400</v>
      </c>
      <c r="D61" s="95">
        <f t="shared" si="13"/>
        <v>1129038</v>
      </c>
      <c r="E61" s="95">
        <f t="shared" si="13"/>
        <v>1187038.8600000003</v>
      </c>
      <c r="F61" s="95">
        <f t="shared" si="13"/>
        <v>1247533.2942000001</v>
      </c>
      <c r="G61" s="95">
        <f t="shared" si="13"/>
        <v>1310658.1753740003</v>
      </c>
      <c r="H61" s="95">
        <f t="shared" si="13"/>
        <v>1376556.8541127804</v>
      </c>
      <c r="I61" s="95">
        <f t="shared" si="13"/>
        <v>1445379.4936893969</v>
      </c>
      <c r="J61" s="95">
        <f t="shared" si="13"/>
        <v>1517283.4213387151</v>
      </c>
      <c r="K61" s="95">
        <f t="shared" si="13"/>
        <v>1592433.4967815536</v>
      </c>
      <c r="L61" s="95">
        <f t="shared" si="13"/>
        <v>1671002.4988652573</v>
      </c>
      <c r="M61" s="95">
        <f t="shared" si="13"/>
        <v>1753171.5312358073</v>
      </c>
      <c r="N61" s="95">
        <f t="shared" si="13"/>
        <v>1968528.0853772813</v>
      </c>
      <c r="O61" s="95">
        <f t="shared" si="13"/>
        <v>2055050.199048385</v>
      </c>
      <c r="P61" s="95">
        <f t="shared" si="13"/>
        <v>2145139.3401407185</v>
      </c>
      <c r="Q61" s="95">
        <f t="shared" si="13"/>
        <v>2238964.1017441107</v>
      </c>
      <c r="R61" s="95">
        <f t="shared" si="13"/>
        <v>2336700.3445373555</v>
      </c>
      <c r="S61" s="95">
        <f t="shared" si="13"/>
        <v>2438531.5299683735</v>
      </c>
      <c r="T61" s="95">
        <f t="shared" si="13"/>
        <v>2544649.0680897236</v>
      </c>
      <c r="U61" s="95">
        <f t="shared" si="13"/>
        <v>2655252.6807122282</v>
      </c>
      <c r="V61" s="95">
        <f t="shared" si="13"/>
        <v>2770550.7805688954</v>
      </c>
      <c r="W61" s="95">
        <f t="shared" si="13"/>
        <v>2890760.8672120287</v>
      </c>
      <c r="X61" s="95">
        <f t="shared" si="13"/>
        <v>3016109.940398592</v>
      </c>
      <c r="Y61" s="95">
        <f t="shared" si="13"/>
        <v>3146834.9317524019</v>
      </c>
      <c r="Z61" s="95">
        <f t="shared" si="13"/>
        <v>3509805.2914821743</v>
      </c>
      <c r="AA61" s="95">
        <f t="shared" si="13"/>
        <v>3649221.0168198212</v>
      </c>
      <c r="AB61" s="95">
        <f t="shared" si="13"/>
        <v>3792622.6452298276</v>
      </c>
      <c r="AC61" s="95">
        <f t="shared" si="13"/>
        <v>3940190.7248755335</v>
      </c>
      <c r="AD61" s="95">
        <f t="shared" si="13"/>
        <v>4092111.4147814028</v>
      </c>
      <c r="AE61" s="95">
        <f t="shared" si="13"/>
        <v>4248576.7216762844</v>
      </c>
      <c r="AF61" s="95">
        <f t="shared" si="13"/>
        <v>4409784.7446182379</v>
      </c>
      <c r="AG61" s="95">
        <f t="shared" si="13"/>
        <v>4575939.9277144568</v>
      </c>
      <c r="AH61" s="95">
        <f t="shared" si="13"/>
        <v>4747253.3212605165</v>
      </c>
      <c r="AI61" s="95">
        <f t="shared" si="13"/>
        <v>4923942.8516342547</v>
      </c>
      <c r="AJ61" s="95">
        <f t="shared" si="13"/>
        <v>5106233.6002912028</v>
      </c>
      <c r="AK61" s="95">
        <f t="shared" si="13"/>
        <v>5294358.0922203781</v>
      </c>
    </row>
    <row r="62" spans="1:37" x14ac:dyDescent="0.2">
      <c r="A62" s="37" t="s">
        <v>378</v>
      </c>
      <c r="B62" s="95">
        <f t="shared" ref="B62:AK62" si="14">B24+B44+B57</f>
        <v>374700</v>
      </c>
      <c r="C62" s="95">
        <f t="shared" si="14"/>
        <v>381988.42499999999</v>
      </c>
      <c r="D62" s="95">
        <f t="shared" si="14"/>
        <v>389419.15214999998</v>
      </c>
      <c r="E62" s="95">
        <f t="shared" si="14"/>
        <v>396994.96860870003</v>
      </c>
      <c r="F62" s="95">
        <f t="shared" si="14"/>
        <v>404718.71627070667</v>
      </c>
      <c r="G62" s="95">
        <f t="shared" si="14"/>
        <v>412593.29284391017</v>
      </c>
      <c r="H62" s="95">
        <f t="shared" si="14"/>
        <v>479745.17995946872</v>
      </c>
      <c r="I62" s="95">
        <f t="shared" si="14"/>
        <v>489112.80678688729</v>
      </c>
      <c r="J62" s="95">
        <f t="shared" si="14"/>
        <v>498663.95103468595</v>
      </c>
      <c r="K62" s="95">
        <f t="shared" si="14"/>
        <v>508402.21785716736</v>
      </c>
      <c r="L62" s="95">
        <f t="shared" si="14"/>
        <v>518331.28339579573</v>
      </c>
      <c r="M62" s="95">
        <f t="shared" si="14"/>
        <v>528454.89617971773</v>
      </c>
      <c r="N62" s="95">
        <f t="shared" si="14"/>
        <v>581819.49058718432</v>
      </c>
      <c r="O62" s="95">
        <f t="shared" si="14"/>
        <v>594458.91376027768</v>
      </c>
      <c r="P62" s="95">
        <f t="shared" si="14"/>
        <v>607374.71279562602</v>
      </c>
      <c r="Q62" s="95">
        <f t="shared" si="14"/>
        <v>620572.95802939148</v>
      </c>
      <c r="R62" s="95">
        <f t="shared" si="14"/>
        <v>634059.85354550998</v>
      </c>
      <c r="S62" s="95">
        <f t="shared" si="14"/>
        <v>647841.74012926291</v>
      </c>
      <c r="T62" s="95">
        <f t="shared" si="14"/>
        <v>661925.09828618518</v>
      </c>
      <c r="U62" s="95">
        <f t="shared" si="14"/>
        <v>676316.55132775614</v>
      </c>
      <c r="V62" s="95">
        <f t="shared" si="14"/>
        <v>691022.86852535373</v>
      </c>
      <c r="W62" s="95">
        <f t="shared" si="14"/>
        <v>706050.96833398205</v>
      </c>
      <c r="X62" s="95">
        <f t="shared" si="14"/>
        <v>721407.92168731953</v>
      </c>
      <c r="Y62" s="95">
        <f t="shared" si="14"/>
        <v>737100.95536566875</v>
      </c>
      <c r="Z62" s="95">
        <f t="shared" si="14"/>
        <v>813332.29132567625</v>
      </c>
      <c r="AA62" s="95">
        <f t="shared" si="14"/>
        <v>832943.73927048873</v>
      </c>
      <c r="AB62" s="95">
        <f t="shared" si="14"/>
        <v>853031.75813663297</v>
      </c>
      <c r="AC62" s="95">
        <f t="shared" si="14"/>
        <v>873607.97482347779</v>
      </c>
      <c r="AD62" s="95">
        <f t="shared" si="14"/>
        <v>894684.30045867723</v>
      </c>
      <c r="AE62" s="95">
        <f t="shared" si="14"/>
        <v>916272.93735331437</v>
      </c>
      <c r="AF62" s="95">
        <f t="shared" si="14"/>
        <v>938386.38612732512</v>
      </c>
      <c r="AG62" s="95">
        <f t="shared" si="14"/>
        <v>961037.45300937246</v>
      </c>
      <c r="AH62" s="95">
        <f t="shared" si="14"/>
        <v>984239.25731544162</v>
      </c>
      <c r="AI62" s="95">
        <f t="shared" si="14"/>
        <v>1008005.2391105345</v>
      </c>
      <c r="AJ62" s="95">
        <f t="shared" si="14"/>
        <v>1032349.1670579469</v>
      </c>
      <c r="AK62" s="95">
        <f t="shared" si="14"/>
        <v>1057285.1464607196</v>
      </c>
    </row>
    <row r="63" spans="1:37" x14ac:dyDescent="0.2">
      <c r="A63" s="37" t="s">
        <v>379</v>
      </c>
      <c r="B63" s="95">
        <f t="shared" ref="B63:AK63" si="15">B61+B62</f>
        <v>1394700</v>
      </c>
      <c r="C63" s="95">
        <f t="shared" si="15"/>
        <v>1455388.425</v>
      </c>
      <c r="D63" s="95">
        <f t="shared" si="15"/>
        <v>1518457.15215</v>
      </c>
      <c r="E63" s="95">
        <f t="shared" si="15"/>
        <v>1584033.8286087003</v>
      </c>
      <c r="F63" s="95">
        <f t="shared" si="15"/>
        <v>1652252.0104707067</v>
      </c>
      <c r="G63" s="95">
        <f t="shared" si="15"/>
        <v>1723251.4682179105</v>
      </c>
      <c r="H63" s="95">
        <f t="shared" si="15"/>
        <v>1856302.0340722492</v>
      </c>
      <c r="I63" s="95">
        <f t="shared" si="15"/>
        <v>1934492.3004762842</v>
      </c>
      <c r="J63" s="95">
        <f t="shared" si="15"/>
        <v>2015947.3723734012</v>
      </c>
      <c r="K63" s="95">
        <f t="shared" si="15"/>
        <v>2100835.7146387212</v>
      </c>
      <c r="L63" s="95">
        <f t="shared" si="15"/>
        <v>2189333.7822610531</v>
      </c>
      <c r="M63" s="95">
        <f t="shared" si="15"/>
        <v>2281626.4274155251</v>
      </c>
      <c r="N63" s="95">
        <f t="shared" si="15"/>
        <v>2550347.5759644657</v>
      </c>
      <c r="O63" s="95">
        <f t="shared" si="15"/>
        <v>2649509.1128086625</v>
      </c>
      <c r="P63" s="95">
        <f t="shared" si="15"/>
        <v>2752514.0529363444</v>
      </c>
      <c r="Q63" s="95">
        <f t="shared" si="15"/>
        <v>2859537.0597735019</v>
      </c>
      <c r="R63" s="95">
        <f t="shared" si="15"/>
        <v>2970760.1980828652</v>
      </c>
      <c r="S63" s="95">
        <f t="shared" si="15"/>
        <v>3086373.2700976366</v>
      </c>
      <c r="T63" s="95">
        <f t="shared" si="15"/>
        <v>3206574.166375909</v>
      </c>
      <c r="U63" s="95">
        <f t="shared" si="15"/>
        <v>3331569.2320399843</v>
      </c>
      <c r="V63" s="95">
        <f t="shared" si="15"/>
        <v>3461573.6490942491</v>
      </c>
      <c r="W63" s="95">
        <f t="shared" si="15"/>
        <v>3596811.8355460106</v>
      </c>
      <c r="X63" s="95">
        <f t="shared" si="15"/>
        <v>3737517.8620859114</v>
      </c>
      <c r="Y63" s="95">
        <f t="shared" si="15"/>
        <v>3883935.8871180704</v>
      </c>
      <c r="Z63" s="95">
        <f t="shared" si="15"/>
        <v>4323137.5828078501</v>
      </c>
      <c r="AA63" s="95">
        <f t="shared" si="15"/>
        <v>4482164.7560903095</v>
      </c>
      <c r="AB63" s="95">
        <f t="shared" si="15"/>
        <v>4645654.4033664605</v>
      </c>
      <c r="AC63" s="95">
        <f t="shared" si="15"/>
        <v>4813798.6996990116</v>
      </c>
      <c r="AD63" s="95">
        <f t="shared" si="15"/>
        <v>4986795.7152400799</v>
      </c>
      <c r="AE63" s="95">
        <f t="shared" si="15"/>
        <v>5164849.6590295993</v>
      </c>
      <c r="AF63" s="95">
        <f t="shared" si="15"/>
        <v>5348171.1307455627</v>
      </c>
      <c r="AG63" s="95">
        <f t="shared" si="15"/>
        <v>5536977.3807238294</v>
      </c>
      <c r="AH63" s="95">
        <f t="shared" si="15"/>
        <v>5731492.5785759585</v>
      </c>
      <c r="AI63" s="95">
        <f t="shared" si="15"/>
        <v>5931948.0907447897</v>
      </c>
      <c r="AJ63" s="95">
        <f t="shared" si="15"/>
        <v>6138582.76734915</v>
      </c>
      <c r="AK63" s="95">
        <f t="shared" si="15"/>
        <v>6351643.2386810975</v>
      </c>
    </row>
    <row r="64" spans="1:37" x14ac:dyDescent="0.2">
      <c r="A64" s="39" t="s">
        <v>380</v>
      </c>
      <c r="B64" s="92">
        <f t="shared" ref="B64:AK64" si="16">B19+B39+B52</f>
        <v>102</v>
      </c>
      <c r="C64" s="92">
        <f t="shared" si="16"/>
        <v>103.94999999999999</v>
      </c>
      <c r="D64" s="92">
        <f t="shared" si="16"/>
        <v>105.93756</v>
      </c>
      <c r="E64" s="92">
        <f t="shared" si="16"/>
        <v>107.96340798000001</v>
      </c>
      <c r="F64" s="92">
        <f t="shared" si="16"/>
        <v>110.02828610214002</v>
      </c>
      <c r="G64" s="92">
        <f t="shared" si="16"/>
        <v>112.13295098815604</v>
      </c>
      <c r="H64" s="92">
        <f t="shared" si="16"/>
        <v>114.27817400228301</v>
      </c>
      <c r="I64" s="92">
        <f t="shared" si="16"/>
        <v>116.46474153971177</v>
      </c>
      <c r="J64" s="92">
        <f t="shared" si="16"/>
        <v>118.6934553207095</v>
      </c>
      <c r="K64" s="92">
        <f t="shared" si="16"/>
        <v>120.96513269051519</v>
      </c>
      <c r="L64" s="92">
        <f t="shared" si="16"/>
        <v>123.28060692512361</v>
      </c>
      <c r="M64" s="92">
        <f t="shared" si="16"/>
        <v>125.64072754307415</v>
      </c>
      <c r="N64" s="92">
        <f t="shared" si="16"/>
        <v>128.00395446161585</v>
      </c>
      <c r="O64" s="92">
        <f t="shared" si="16"/>
        <v>130.6967140314878</v>
      </c>
      <c r="P64" s="92">
        <f t="shared" si="16"/>
        <v>133.44713279802644</v>
      </c>
      <c r="Q64" s="92">
        <f t="shared" si="16"/>
        <v>136.25646020251995</v>
      </c>
      <c r="R64" s="92">
        <f t="shared" si="16"/>
        <v>139.12597297698963</v>
      </c>
      <c r="S64" s="92">
        <f t="shared" si="16"/>
        <v>142.05697574346874</v>
      </c>
      <c r="T64" s="92">
        <f t="shared" si="16"/>
        <v>145.050801626489</v>
      </c>
      <c r="U64" s="92">
        <f t="shared" si="16"/>
        <v>148.10881287906633</v>
      </c>
      <c r="V64" s="92">
        <f t="shared" si="16"/>
        <v>151.23240152248437</v>
      </c>
      <c r="W64" s="92">
        <f t="shared" si="16"/>
        <v>154.42299000018016</v>
      </c>
      <c r="X64" s="92">
        <f t="shared" si="16"/>
        <v>157.68203184604454</v>
      </c>
      <c r="Y64" s="92">
        <f t="shared" si="16"/>
        <v>161.01101236745461</v>
      </c>
      <c r="Z64" s="92">
        <f t="shared" si="16"/>
        <v>164.37441194504783</v>
      </c>
      <c r="AA64" s="92">
        <f t="shared" si="16"/>
        <v>168.1956160519243</v>
      </c>
      <c r="AB64" s="92">
        <f t="shared" si="16"/>
        <v>172.1079078391904</v>
      </c>
      <c r="AC64" s="92">
        <f t="shared" si="16"/>
        <v>176.11348772069618</v>
      </c>
      <c r="AD64" s="92">
        <f t="shared" si="16"/>
        <v>180.21460963235489</v>
      </c>
      <c r="AE64" s="92">
        <f t="shared" si="16"/>
        <v>184.41358233854504</v>
      </c>
      <c r="AF64" s="92">
        <f t="shared" si="16"/>
        <v>188.7127707704561</v>
      </c>
      <c r="AG64" s="92">
        <f t="shared" si="16"/>
        <v>193.11459739715951</v>
      </c>
      <c r="AH64" s="92">
        <f t="shared" si="16"/>
        <v>197.62154363020602</v>
      </c>
      <c r="AI64" s="92">
        <f t="shared" si="16"/>
        <v>202.23615126257027</v>
      </c>
      <c r="AJ64" s="92">
        <f t="shared" si="16"/>
        <v>206.96102394278208</v>
      </c>
      <c r="AK64" s="92">
        <f t="shared" si="16"/>
        <v>211.7988286851072</v>
      </c>
    </row>
    <row r="65" spans="1:37" x14ac:dyDescent="0.2">
      <c r="A65" s="39" t="s">
        <v>381</v>
      </c>
      <c r="B65" s="45">
        <f>Parametres!$D$72*B64/Parametres!$D$73</f>
        <v>15.299999999999999</v>
      </c>
      <c r="C65" s="45">
        <f>Parametres!$D$72*C64/Parametres!$D$73</f>
        <v>15.592499999999998</v>
      </c>
      <c r="D65" s="45">
        <f>Parametres!$D$72*D64/Parametres!$D$73</f>
        <v>15.890634</v>
      </c>
      <c r="E65" s="45">
        <f>Parametres!$D$72*E64/Parametres!$D$73</f>
        <v>16.194511197000001</v>
      </c>
      <c r="F65" s="45">
        <f>Parametres!$D$72*F64/Parametres!$D$73</f>
        <v>16.504242915321001</v>
      </c>
      <c r="G65" s="45">
        <f>Parametres!$D$72*G64/Parametres!$D$73</f>
        <v>16.819942648223407</v>
      </c>
      <c r="H65" s="45">
        <f>Parametres!$D$72*H64/Parametres!$D$73</f>
        <v>17.141726100342449</v>
      </c>
      <c r="I65" s="45">
        <f>Parametres!$D$72*I64/Parametres!$D$73</f>
        <v>17.469711230956765</v>
      </c>
      <c r="J65" s="45">
        <f>Parametres!$D$72*J64/Parametres!$D$73</f>
        <v>17.804018298106424</v>
      </c>
      <c r="K65" s="45">
        <f>Parametres!$D$72*K64/Parametres!$D$73</f>
        <v>18.144769903577277</v>
      </c>
      <c r="L65" s="45">
        <f>Parametres!$D$72*L64/Parametres!$D$73</f>
        <v>18.492091038768539</v>
      </c>
      <c r="M65" s="45">
        <f>Parametres!$D$72*M64/Parametres!$D$73</f>
        <v>18.846109131461123</v>
      </c>
      <c r="N65" s="45">
        <f>Parametres!$D$72*N64/Parametres!$D$73</f>
        <v>19.200593169242378</v>
      </c>
      <c r="O65" s="45">
        <f>Parametres!$D$72*O64/Parametres!$D$73</f>
        <v>19.604507104723169</v>
      </c>
      <c r="P65" s="45">
        <f>Parametres!$D$72*P64/Parametres!$D$73</f>
        <v>20.017069919703967</v>
      </c>
      <c r="Q65" s="45">
        <f>Parametres!$D$72*Q64/Parametres!$D$73</f>
        <v>20.438469030377991</v>
      </c>
      <c r="R65" s="45">
        <f>Parametres!$D$72*R64/Parametres!$D$73</f>
        <v>20.868895946548445</v>
      </c>
      <c r="S65" s="45">
        <f>Parametres!$D$72*S64/Parametres!$D$73</f>
        <v>21.30854636152031</v>
      </c>
      <c r="T65" s="45">
        <f>Parametres!$D$72*T64/Parametres!$D$73</f>
        <v>21.757620243973349</v>
      </c>
      <c r="U65" s="45">
        <f>Parametres!$D$72*U64/Parametres!$D$73</f>
        <v>22.216321931859948</v>
      </c>
      <c r="V65" s="45">
        <f>Parametres!$D$72*V64/Parametres!$D$73</f>
        <v>22.684860228372653</v>
      </c>
      <c r="W65" s="45">
        <f>Parametres!$D$72*W64/Parametres!$D$73</f>
        <v>23.163448500027023</v>
      </c>
      <c r="X65" s="45">
        <f>Parametres!$D$72*X64/Parametres!$D$73</f>
        <v>23.652304776906679</v>
      </c>
      <c r="Y65" s="45">
        <f>Parametres!$D$72*Y64/Parametres!$D$73</f>
        <v>24.151651855118192</v>
      </c>
      <c r="Z65" s="45">
        <f>Parametres!$D$72*Z64/Parametres!$D$73</f>
        <v>24.656161791757174</v>
      </c>
      <c r="AA65" s="45">
        <f>Parametres!$D$72*AA64/Parametres!$D$73</f>
        <v>25.229342407788646</v>
      </c>
      <c r="AB65" s="45">
        <f>Parametres!$D$72*AB64/Parametres!$D$73</f>
        <v>25.81618617587856</v>
      </c>
      <c r="AC65" s="45">
        <f>Parametres!$D$72*AC64/Parametres!$D$73</f>
        <v>26.417023158104428</v>
      </c>
      <c r="AD65" s="45">
        <f>Parametres!$D$72*AD64/Parametres!$D$73</f>
        <v>27.032191444853233</v>
      </c>
      <c r="AE65" s="45">
        <f>Parametres!$D$72*AE64/Parametres!$D$73</f>
        <v>27.662037350781755</v>
      </c>
      <c r="AF65" s="45">
        <f>Parametres!$D$72*AF64/Parametres!$D$73</f>
        <v>28.306915615568414</v>
      </c>
      <c r="AG65" s="45">
        <f>Parametres!$D$72*AG64/Parametres!$D$73</f>
        <v>28.967189609573925</v>
      </c>
      <c r="AH65" s="45">
        <f>Parametres!$D$72*AH64/Parametres!$D$73</f>
        <v>29.643231544530902</v>
      </c>
      <c r="AI65" s="45">
        <f>Parametres!$D$72*AI64/Parametres!$D$73</f>
        <v>30.335422689385538</v>
      </c>
      <c r="AJ65" s="45">
        <f>Parametres!$D$72*AJ64/Parametres!$D$73</f>
        <v>31.044153591417309</v>
      </c>
      <c r="AK65" s="45">
        <f>Parametres!$D$72*AK64/Parametres!$D$73</f>
        <v>31.769824302766079</v>
      </c>
    </row>
    <row r="66" spans="1:37" x14ac:dyDescent="0.2">
      <c r="A66" s="39" t="s">
        <v>382</v>
      </c>
      <c r="B66" s="92">
        <f t="shared" ref="B66:AK66" si="17">B11+B34+B27+B65</f>
        <v>63.3</v>
      </c>
      <c r="C66" s="92">
        <f t="shared" si="17"/>
        <v>20.717499999999998</v>
      </c>
      <c r="D66" s="92">
        <f t="shared" si="17"/>
        <v>21.071884000000004</v>
      </c>
      <c r="E66" s="92">
        <f t="shared" si="17"/>
        <v>21.434823697000002</v>
      </c>
      <c r="F66" s="92">
        <f t="shared" si="17"/>
        <v>21.806571040321003</v>
      </c>
      <c r="G66" s="92">
        <f t="shared" si="17"/>
        <v>22.187387179473408</v>
      </c>
      <c r="H66" s="92">
        <f t="shared" si="17"/>
        <v>22.577542858154953</v>
      </c>
      <c r="I66" s="92">
        <f t="shared" si="17"/>
        <v>22.977318826659889</v>
      </c>
      <c r="J66" s="92">
        <f t="shared" si="17"/>
        <v>23.387006273594707</v>
      </c>
      <c r="K66" s="92">
        <f t="shared" si="17"/>
        <v>23.806907277839976</v>
      </c>
      <c r="L66" s="92">
        <f t="shared" si="17"/>
        <v>24.237335281744372</v>
      </c>
      <c r="M66" s="92">
        <f t="shared" si="17"/>
        <v>24.678615586585746</v>
      </c>
      <c r="N66" s="92">
        <f t="shared" si="17"/>
        <v>24.868174043405787</v>
      </c>
      <c r="O66" s="92">
        <f t="shared" si="17"/>
        <v>25.464763196023057</v>
      </c>
      <c r="P66" s="92">
        <f t="shared" si="17"/>
        <v>25.96051919251795</v>
      </c>
      <c r="Q66" s="92">
        <f t="shared" si="17"/>
        <v>26.468831996888667</v>
      </c>
      <c r="R66" s="92">
        <f t="shared" si="17"/>
        <v>26.990059505301438</v>
      </c>
      <c r="S66" s="92">
        <f t="shared" si="17"/>
        <v>27.524571238448644</v>
      </c>
      <c r="T66" s="92">
        <f t="shared" si="17"/>
        <v>28.072748766194536</v>
      </c>
      <c r="U66" s="92">
        <f t="shared" si="17"/>
        <v>28.634986149127837</v>
      </c>
      <c r="V66" s="92">
        <f t="shared" si="17"/>
        <v>29.211690397731683</v>
      </c>
      <c r="W66" s="92">
        <f t="shared" si="17"/>
        <v>29.803281949911735</v>
      </c>
      <c r="X66" s="92">
        <f t="shared" si="17"/>
        <v>30.41019516765579</v>
      </c>
      <c r="Y66" s="92">
        <f t="shared" si="17"/>
        <v>31.032878853631477</v>
      </c>
      <c r="Z66" s="92">
        <f t="shared" si="17"/>
        <v>31.183552504170574</v>
      </c>
      <c r="AA66" s="92">
        <f t="shared" si="17"/>
        <v>37.984350942085243</v>
      </c>
      <c r="AB66" s="92">
        <f t="shared" si="17"/>
        <v>38.672420187365745</v>
      </c>
      <c r="AC66" s="92">
        <f t="shared" si="17"/>
        <v>39.378201908303517</v>
      </c>
      <c r="AD66" s="92">
        <f t="shared" si="17"/>
        <v>40.102170849679716</v>
      </c>
      <c r="AE66" s="92">
        <f t="shared" si="17"/>
        <v>40.844815001548412</v>
      </c>
      <c r="AF66" s="92">
        <f t="shared" si="17"/>
        <v>41.606635984471758</v>
      </c>
      <c r="AG66" s="92">
        <f t="shared" si="17"/>
        <v>42.388149446442497</v>
      </c>
      <c r="AH66" s="92">
        <f t="shared" si="17"/>
        <v>43.189885471862709</v>
      </c>
      <c r="AI66" s="92">
        <f t="shared" si="17"/>
        <v>44.012389002960369</v>
      </c>
      <c r="AJ66" s="92">
        <f t="shared" si="17"/>
        <v>44.856220274037057</v>
      </c>
      <c r="AK66" s="92">
        <f t="shared" si="17"/>
        <v>45.721955258954054</v>
      </c>
    </row>
    <row r="67" spans="1:37" x14ac:dyDescent="0.2">
      <c r="A67" s="39" t="s">
        <v>383</v>
      </c>
      <c r="B67" s="66">
        <f t="shared" ref="B67:AK67" si="18">B20*B22+B40*B42+B53*B55</f>
        <v>0</v>
      </c>
      <c r="C67" s="66">
        <f t="shared" si="18"/>
        <v>0</v>
      </c>
      <c r="D67" s="66">
        <f t="shared" si="18"/>
        <v>0</v>
      </c>
      <c r="E67" s="66">
        <f t="shared" si="18"/>
        <v>0</v>
      </c>
      <c r="F67" s="66">
        <f t="shared" si="18"/>
        <v>0</v>
      </c>
      <c r="G67" s="66">
        <f t="shared" si="18"/>
        <v>0</v>
      </c>
      <c r="H67" s="66">
        <f t="shared" si="18"/>
        <v>0</v>
      </c>
      <c r="I67" s="66">
        <f t="shared" si="18"/>
        <v>0</v>
      </c>
      <c r="J67" s="66">
        <f t="shared" si="18"/>
        <v>0</v>
      </c>
      <c r="K67" s="66">
        <f t="shared" si="18"/>
        <v>0</v>
      </c>
      <c r="L67" s="66">
        <f t="shared" si="18"/>
        <v>0</v>
      </c>
      <c r="M67" s="66">
        <f t="shared" si="18"/>
        <v>0</v>
      </c>
      <c r="N67" s="66">
        <f t="shared" si="18"/>
        <v>0</v>
      </c>
      <c r="O67" s="66">
        <f t="shared" si="18"/>
        <v>0</v>
      </c>
      <c r="P67" s="66">
        <f t="shared" si="18"/>
        <v>0</v>
      </c>
      <c r="Q67" s="66">
        <f t="shared" si="18"/>
        <v>0</v>
      </c>
      <c r="R67" s="66">
        <f t="shared" si="18"/>
        <v>0</v>
      </c>
      <c r="S67" s="66">
        <f t="shared" si="18"/>
        <v>0</v>
      </c>
      <c r="T67" s="66">
        <f t="shared" si="18"/>
        <v>0</v>
      </c>
      <c r="U67" s="66">
        <f t="shared" si="18"/>
        <v>0</v>
      </c>
      <c r="V67" s="66">
        <f t="shared" si="18"/>
        <v>0</v>
      </c>
      <c r="W67" s="66">
        <f t="shared" si="18"/>
        <v>0</v>
      </c>
      <c r="X67" s="66">
        <f t="shared" si="18"/>
        <v>0</v>
      </c>
      <c r="Y67" s="66">
        <f t="shared" si="18"/>
        <v>0</v>
      </c>
      <c r="Z67" s="66">
        <f t="shared" si="18"/>
        <v>0</v>
      </c>
      <c r="AA67" s="66">
        <f t="shared" si="18"/>
        <v>0</v>
      </c>
      <c r="AB67" s="66">
        <f t="shared" si="18"/>
        <v>0</v>
      </c>
      <c r="AC67" s="66">
        <f t="shared" si="18"/>
        <v>0</v>
      </c>
      <c r="AD67" s="66">
        <f t="shared" si="18"/>
        <v>0</v>
      </c>
      <c r="AE67" s="66">
        <f t="shared" si="18"/>
        <v>0</v>
      </c>
      <c r="AF67" s="66">
        <f t="shared" si="18"/>
        <v>0</v>
      </c>
      <c r="AG67" s="66">
        <f t="shared" si="18"/>
        <v>0</v>
      </c>
      <c r="AH67" s="66">
        <f t="shared" si="18"/>
        <v>0</v>
      </c>
      <c r="AI67" s="66">
        <f t="shared" si="18"/>
        <v>0</v>
      </c>
      <c r="AJ67" s="66">
        <f t="shared" si="18"/>
        <v>0</v>
      </c>
      <c r="AK67" s="66">
        <f t="shared" si="18"/>
        <v>0</v>
      </c>
    </row>
    <row r="68" spans="1:37" x14ac:dyDescent="0.2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</row>
    <row r="69" spans="1:37" ht="18" customHeight="1" x14ac:dyDescent="0.2">
      <c r="A69" s="40" t="s">
        <v>384</v>
      </c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</row>
    <row r="70" spans="1:37" x14ac:dyDescent="0.2">
      <c r="A70" s="37" t="s">
        <v>385</v>
      </c>
      <c r="B70" s="97">
        <f>0</f>
        <v>0</v>
      </c>
      <c r="C70" s="98">
        <f>IF(C$3&lt;Parametres!$D$126,0,IF(B70=1,1,IF(AND(N(C$3&gt;=Parametres!$D$128+1),INDEX(Tresorerie!$C$25:$AM$25,C$3)&gt;Parametres!$D$127,INDEX(Tresorerie!$C$25:$AM$25,C$3-1)&gt;Parametres!$D$127,INDEX(Tresorerie!$C$25:$AM$25,C$3-2)&gt;Parametres!$D$127,IF(Parametres!$D$129=1,INDEX('P&amp;L'!$B$18:$AK$18,C$3-1)&gt;0,TRUE),IF(Parametres!$D$129=1,INDEX('P&amp;L'!$B$18:$AK$18,C$3-2)&gt;0,TRUE),IF(Parametres!$D$129=1,INDEX('P&amp;L'!$B$18:$AK$18,C$3-3)&gt;0,TRUE)),1,0)))</f>
        <v>0</v>
      </c>
      <c r="D70" s="98">
        <f>IF(D$3&lt;Parametres!$D$126,0,IF(C70=1,1,IF(AND(N(D$3&gt;=Parametres!$D$128+1),INDEX(Tresorerie!$C$25:$AM$25,D$3)&gt;Parametres!$D$127,INDEX(Tresorerie!$C$25:$AM$25,D$3-1)&gt;Parametres!$D$127,INDEX(Tresorerie!$C$25:$AM$25,D$3-2)&gt;Parametres!$D$127,IF(Parametres!$D$129=1,INDEX('P&amp;L'!$B$18:$AK$18,D$3-1)&gt;0,TRUE),IF(Parametres!$D$129=1,INDEX('P&amp;L'!$B$18:$AK$18,D$3-2)&gt;0,TRUE),IF(Parametres!$D$129=1,INDEX('P&amp;L'!$B$18:$AK$18,D$3-3)&gt;0,TRUE)),1,0)))</f>
        <v>0</v>
      </c>
      <c r="E70" s="98">
        <f>IF(E$3&lt;Parametres!$D$126,0,IF(D70=1,1,IF(AND(N(E$3&gt;=Parametres!$D$128+1),INDEX(Tresorerie!$C$25:$AM$25,E$3)&gt;Parametres!$D$127,INDEX(Tresorerie!$C$25:$AM$25,E$3-1)&gt;Parametres!$D$127,INDEX(Tresorerie!$C$25:$AM$25,E$3-2)&gt;Parametres!$D$127,IF(Parametres!$D$129=1,INDEX('P&amp;L'!$B$18:$AK$18,E$3-1)&gt;0,TRUE),IF(Parametres!$D$129=1,INDEX('P&amp;L'!$B$18:$AK$18,E$3-2)&gt;0,TRUE),IF(Parametres!$D$129=1,INDEX('P&amp;L'!$B$18:$AK$18,E$3-3)&gt;0,TRUE)),1,0)))</f>
        <v>0</v>
      </c>
      <c r="F70" s="98">
        <f>IF(F$3&lt;Parametres!$D$126,0,IF(E70=1,1,IF(AND(N(F$3&gt;=Parametres!$D$128+1),INDEX(Tresorerie!$C$25:$AM$25,F$3)&gt;Parametres!$D$127,INDEX(Tresorerie!$C$25:$AM$25,F$3-1)&gt;Parametres!$D$127,INDEX(Tresorerie!$C$25:$AM$25,F$3-2)&gt;Parametres!$D$127,IF(Parametres!$D$129=1,INDEX('P&amp;L'!$B$18:$AK$18,F$3-1)&gt;0,TRUE),IF(Parametres!$D$129=1,INDEX('P&amp;L'!$B$18:$AK$18,F$3-2)&gt;0,TRUE),IF(Parametres!$D$129=1,INDEX('P&amp;L'!$B$18:$AK$18,F$3-3)&gt;0,TRUE)),1,0)))</f>
        <v>0</v>
      </c>
      <c r="G70" s="98">
        <f>IF(G$3&lt;Parametres!$D$126,0,IF(F70=1,1,IF(AND(N(G$3&gt;=Parametres!$D$128+1),INDEX(Tresorerie!$C$25:$AM$25,G$3)&gt;Parametres!$D$127,INDEX(Tresorerie!$C$25:$AM$25,G$3-1)&gt;Parametres!$D$127,INDEX(Tresorerie!$C$25:$AM$25,G$3-2)&gt;Parametres!$D$127,IF(Parametres!$D$129=1,INDEX('P&amp;L'!$B$18:$AK$18,G$3-1)&gt;0,TRUE),IF(Parametres!$D$129=1,INDEX('P&amp;L'!$B$18:$AK$18,G$3-2)&gt;0,TRUE),IF(Parametres!$D$129=1,INDEX('P&amp;L'!$B$18:$AK$18,G$3-3)&gt;0,TRUE)),1,0)))</f>
        <v>0</v>
      </c>
      <c r="H70" s="98">
        <f>IF(H$3&lt;Parametres!$D$126,0,IF(G70=1,1,IF(AND(N(H$3&gt;=Parametres!$D$128+1),INDEX(Tresorerie!$C$25:$AM$25,H$3)&gt;Parametres!$D$127,INDEX(Tresorerie!$C$25:$AM$25,H$3-1)&gt;Parametres!$D$127,INDEX(Tresorerie!$C$25:$AM$25,H$3-2)&gt;Parametres!$D$127,IF(Parametres!$D$129=1,INDEX('P&amp;L'!$B$18:$AK$18,H$3-1)&gt;0,TRUE),IF(Parametres!$D$129=1,INDEX('P&amp;L'!$B$18:$AK$18,H$3-2)&gt;0,TRUE),IF(Parametres!$D$129=1,INDEX('P&amp;L'!$B$18:$AK$18,H$3-3)&gt;0,TRUE)),1,0)))</f>
        <v>0</v>
      </c>
      <c r="I70" s="98">
        <f>IF(I$3&lt;Parametres!$D$126,0,IF(H70=1,1,IF(AND(N(I$3&gt;=Parametres!$D$128+1),INDEX(Tresorerie!$C$25:$AM$25,I$3)&gt;Parametres!$D$127,INDEX(Tresorerie!$C$25:$AM$25,I$3-1)&gt;Parametres!$D$127,INDEX(Tresorerie!$C$25:$AM$25,I$3-2)&gt;Parametres!$D$127,IF(Parametres!$D$129=1,INDEX('P&amp;L'!$B$18:$AK$18,I$3-1)&gt;0,TRUE),IF(Parametres!$D$129=1,INDEX('P&amp;L'!$B$18:$AK$18,I$3-2)&gt;0,TRUE),IF(Parametres!$D$129=1,INDEX('P&amp;L'!$B$18:$AK$18,I$3-3)&gt;0,TRUE)),1,0)))</f>
        <v>0</v>
      </c>
      <c r="J70" s="98">
        <f>IF(J$3&lt;Parametres!$D$126,0,IF(I70=1,1,IF(AND(N(J$3&gt;=Parametres!$D$128+1),INDEX(Tresorerie!$C$25:$AM$25,J$3)&gt;Parametres!$D$127,INDEX(Tresorerie!$C$25:$AM$25,J$3-1)&gt;Parametres!$D$127,INDEX(Tresorerie!$C$25:$AM$25,J$3-2)&gt;Parametres!$D$127,IF(Parametres!$D$129=1,INDEX('P&amp;L'!$B$18:$AK$18,J$3-1)&gt;0,TRUE),IF(Parametres!$D$129=1,INDEX('P&amp;L'!$B$18:$AK$18,J$3-2)&gt;0,TRUE),IF(Parametres!$D$129=1,INDEX('P&amp;L'!$B$18:$AK$18,J$3-3)&gt;0,TRUE)),1,0)))</f>
        <v>0</v>
      </c>
      <c r="K70" s="98">
        <f>IF(K$3&lt;Parametres!$D$126,0,IF(J70=1,1,IF(AND(N(K$3&gt;=Parametres!$D$128+1),INDEX(Tresorerie!$C$25:$AM$25,K$3)&gt;Parametres!$D$127,INDEX(Tresorerie!$C$25:$AM$25,K$3-1)&gt;Parametres!$D$127,INDEX(Tresorerie!$C$25:$AM$25,K$3-2)&gt;Parametres!$D$127,IF(Parametres!$D$129=1,INDEX('P&amp;L'!$B$18:$AK$18,K$3-1)&gt;0,TRUE),IF(Parametres!$D$129=1,INDEX('P&amp;L'!$B$18:$AK$18,K$3-2)&gt;0,TRUE),IF(Parametres!$D$129=1,INDEX('P&amp;L'!$B$18:$AK$18,K$3-3)&gt;0,TRUE)),1,0)))</f>
        <v>0</v>
      </c>
      <c r="L70" s="98">
        <f>IF(L$3&lt;Parametres!$D$126,0,IF(K70=1,1,IF(AND(N(L$3&gt;=Parametres!$D$128+1),INDEX(Tresorerie!$C$25:$AM$25,L$3)&gt;Parametres!$D$127,INDEX(Tresorerie!$C$25:$AM$25,L$3-1)&gt;Parametres!$D$127,INDEX(Tresorerie!$C$25:$AM$25,L$3-2)&gt;Parametres!$D$127,IF(Parametres!$D$129=1,INDEX('P&amp;L'!$B$18:$AK$18,L$3-1)&gt;0,TRUE),IF(Parametres!$D$129=1,INDEX('P&amp;L'!$B$18:$AK$18,L$3-2)&gt;0,TRUE),IF(Parametres!$D$129=1,INDEX('P&amp;L'!$B$18:$AK$18,L$3-3)&gt;0,TRUE)),1,0)))</f>
        <v>0</v>
      </c>
      <c r="M70" s="98">
        <f>IF(M$3&lt;Parametres!$D$126,0,IF(L70=1,1,IF(AND(N(M$3&gt;=Parametres!$D$128+1),INDEX(Tresorerie!$C$25:$AM$25,M$3)&gt;Parametres!$D$127,INDEX(Tresorerie!$C$25:$AM$25,M$3-1)&gt;Parametres!$D$127,INDEX(Tresorerie!$C$25:$AM$25,M$3-2)&gt;Parametres!$D$127,IF(Parametres!$D$129=1,INDEX('P&amp;L'!$B$18:$AK$18,M$3-1)&gt;0,TRUE),IF(Parametres!$D$129=1,INDEX('P&amp;L'!$B$18:$AK$18,M$3-2)&gt;0,TRUE),IF(Parametres!$D$129=1,INDEX('P&amp;L'!$B$18:$AK$18,M$3-3)&gt;0,TRUE)),1,0)))</f>
        <v>0</v>
      </c>
      <c r="N70" s="98">
        <f>IF(N$3&lt;Parametres!$D$126,0,IF(M70=1,1,IF(AND(N(N$3&gt;=Parametres!$D$128+1),INDEX(Tresorerie!$C$25:$AM$25,N$3)&gt;Parametres!$D$127,INDEX(Tresorerie!$C$25:$AM$25,N$3-1)&gt;Parametres!$D$127,INDEX(Tresorerie!$C$25:$AM$25,N$3-2)&gt;Parametres!$D$127,IF(Parametres!$D$129=1,INDEX('P&amp;L'!$B$18:$AK$18,N$3-1)&gt;0,TRUE),IF(Parametres!$D$129=1,INDEX('P&amp;L'!$B$18:$AK$18,N$3-2)&gt;0,TRUE),IF(Parametres!$D$129=1,INDEX('P&amp;L'!$B$18:$AK$18,N$3-3)&gt;0,TRUE)),1,0)))</f>
        <v>0</v>
      </c>
      <c r="O70" s="98">
        <f>IF(O$3&lt;Parametres!$D$126,0,IF(N70=1,1,IF(AND(N(O$3&gt;=Parametres!$D$128+1),INDEX(Tresorerie!$C$25:$AM$25,O$3)&gt;Parametres!$D$127,INDEX(Tresorerie!$C$25:$AM$25,O$3-1)&gt;Parametres!$D$127,INDEX(Tresorerie!$C$25:$AM$25,O$3-2)&gt;Parametres!$D$127,IF(Parametres!$D$129=1,INDEX('P&amp;L'!$B$18:$AK$18,O$3-1)&gt;0,TRUE),IF(Parametres!$D$129=1,INDEX('P&amp;L'!$B$18:$AK$18,O$3-2)&gt;0,TRUE),IF(Parametres!$D$129=1,INDEX('P&amp;L'!$B$18:$AK$18,O$3-3)&gt;0,TRUE)),1,0)))</f>
        <v>0</v>
      </c>
      <c r="P70" s="98">
        <f>IF(P$3&lt;Parametres!$D$126,0,IF(O70=1,1,IF(AND(N(P$3&gt;=Parametres!$D$128+1),INDEX(Tresorerie!$C$25:$AM$25,P$3)&gt;Parametres!$D$127,INDEX(Tresorerie!$C$25:$AM$25,P$3-1)&gt;Parametres!$D$127,INDEX(Tresorerie!$C$25:$AM$25,P$3-2)&gt;Parametres!$D$127,IF(Parametres!$D$129=1,INDEX('P&amp;L'!$B$18:$AK$18,P$3-1)&gt;0,TRUE),IF(Parametres!$D$129=1,INDEX('P&amp;L'!$B$18:$AK$18,P$3-2)&gt;0,TRUE),IF(Parametres!$D$129=1,INDEX('P&amp;L'!$B$18:$AK$18,P$3-3)&gt;0,TRUE)),1,0)))</f>
        <v>0</v>
      </c>
      <c r="Q70" s="98">
        <f>IF(Q$3&lt;Parametres!$D$126,0,IF(P70=1,1,IF(AND(N(Q$3&gt;=Parametres!$D$128+1),INDEX(Tresorerie!$C$25:$AM$25,Q$3)&gt;Parametres!$D$127,INDEX(Tresorerie!$C$25:$AM$25,Q$3-1)&gt;Parametres!$D$127,INDEX(Tresorerie!$C$25:$AM$25,Q$3-2)&gt;Parametres!$D$127,IF(Parametres!$D$129=1,INDEX('P&amp;L'!$B$18:$AK$18,Q$3-1)&gt;0,TRUE),IF(Parametres!$D$129=1,INDEX('P&amp;L'!$B$18:$AK$18,Q$3-2)&gt;0,TRUE),IF(Parametres!$D$129=1,INDEX('P&amp;L'!$B$18:$AK$18,Q$3-3)&gt;0,TRUE)),1,0)))</f>
        <v>0</v>
      </c>
      <c r="R70" s="98">
        <f>IF(R$3&lt;Parametres!$D$126,0,IF(Q70=1,1,IF(AND(N(R$3&gt;=Parametres!$D$128+1),INDEX(Tresorerie!$C$25:$AM$25,R$3)&gt;Parametres!$D$127,INDEX(Tresorerie!$C$25:$AM$25,R$3-1)&gt;Parametres!$D$127,INDEX(Tresorerie!$C$25:$AM$25,R$3-2)&gt;Parametres!$D$127,IF(Parametres!$D$129=1,INDEX('P&amp;L'!$B$18:$AK$18,R$3-1)&gt;0,TRUE),IF(Parametres!$D$129=1,INDEX('P&amp;L'!$B$18:$AK$18,R$3-2)&gt;0,TRUE),IF(Parametres!$D$129=1,INDEX('P&amp;L'!$B$18:$AK$18,R$3-3)&gt;0,TRUE)),1,0)))</f>
        <v>0</v>
      </c>
      <c r="S70" s="98">
        <f>IF(S$3&lt;Parametres!$D$126,0,IF(R70=1,1,IF(AND(N(S$3&gt;=Parametres!$D$128+1),INDEX(Tresorerie!$C$25:$AM$25,S$3)&gt;Parametres!$D$127,INDEX(Tresorerie!$C$25:$AM$25,S$3-1)&gt;Parametres!$D$127,INDEX(Tresorerie!$C$25:$AM$25,S$3-2)&gt;Parametres!$D$127,IF(Parametres!$D$129=1,INDEX('P&amp;L'!$B$18:$AK$18,S$3-1)&gt;0,TRUE),IF(Parametres!$D$129=1,INDEX('P&amp;L'!$B$18:$AK$18,S$3-2)&gt;0,TRUE),IF(Parametres!$D$129=1,INDEX('P&amp;L'!$B$18:$AK$18,S$3-3)&gt;0,TRUE)),1,0)))</f>
        <v>0</v>
      </c>
      <c r="T70" s="98">
        <f>IF(T$3&lt;Parametres!$D$126,0,IF(S70=1,1,IF(AND(N(T$3&gt;=Parametres!$D$128+1),INDEX(Tresorerie!$C$25:$AM$25,T$3)&gt;Parametres!$D$127,INDEX(Tresorerie!$C$25:$AM$25,T$3-1)&gt;Parametres!$D$127,INDEX(Tresorerie!$C$25:$AM$25,T$3-2)&gt;Parametres!$D$127,IF(Parametres!$D$129=1,INDEX('P&amp;L'!$B$18:$AK$18,T$3-1)&gt;0,TRUE),IF(Parametres!$D$129=1,INDEX('P&amp;L'!$B$18:$AK$18,T$3-2)&gt;0,TRUE),IF(Parametres!$D$129=1,INDEX('P&amp;L'!$B$18:$AK$18,T$3-3)&gt;0,TRUE)),1,0)))</f>
        <v>0</v>
      </c>
      <c r="U70" s="98">
        <f>IF(U$3&lt;Parametres!$D$126,0,IF(T70=1,1,IF(AND(N(U$3&gt;=Parametres!$D$128+1),INDEX(Tresorerie!$C$25:$AM$25,U$3)&gt;Parametres!$D$127,INDEX(Tresorerie!$C$25:$AM$25,U$3-1)&gt;Parametres!$D$127,INDEX(Tresorerie!$C$25:$AM$25,U$3-2)&gt;Parametres!$D$127,IF(Parametres!$D$129=1,INDEX('P&amp;L'!$B$18:$AK$18,U$3-1)&gt;0,TRUE),IF(Parametres!$D$129=1,INDEX('P&amp;L'!$B$18:$AK$18,U$3-2)&gt;0,TRUE),IF(Parametres!$D$129=1,INDEX('P&amp;L'!$B$18:$AK$18,U$3-3)&gt;0,TRUE)),1,0)))</f>
        <v>0</v>
      </c>
      <c r="V70" s="98">
        <f>IF(V$3&lt;Parametres!$D$126,0,IF(U70=1,1,IF(AND(N(V$3&gt;=Parametres!$D$128+1),INDEX(Tresorerie!$C$25:$AM$25,V$3)&gt;Parametres!$D$127,INDEX(Tresorerie!$C$25:$AM$25,V$3-1)&gt;Parametres!$D$127,INDEX(Tresorerie!$C$25:$AM$25,V$3-2)&gt;Parametres!$D$127,IF(Parametres!$D$129=1,INDEX('P&amp;L'!$B$18:$AK$18,V$3-1)&gt;0,TRUE),IF(Parametres!$D$129=1,INDEX('P&amp;L'!$B$18:$AK$18,V$3-2)&gt;0,TRUE),IF(Parametres!$D$129=1,INDEX('P&amp;L'!$B$18:$AK$18,V$3-3)&gt;0,TRUE)),1,0)))</f>
        <v>0</v>
      </c>
      <c r="W70" s="98">
        <f>IF(W$3&lt;Parametres!$D$126,0,IF(V70=1,1,IF(AND(N(W$3&gt;=Parametres!$D$128+1),INDEX(Tresorerie!$C$25:$AM$25,W$3)&gt;Parametres!$D$127,INDEX(Tresorerie!$C$25:$AM$25,W$3-1)&gt;Parametres!$D$127,INDEX(Tresorerie!$C$25:$AM$25,W$3-2)&gt;Parametres!$D$127,IF(Parametres!$D$129=1,INDEX('P&amp;L'!$B$18:$AK$18,W$3-1)&gt;0,TRUE),IF(Parametres!$D$129=1,INDEX('P&amp;L'!$B$18:$AK$18,W$3-2)&gt;0,TRUE),IF(Parametres!$D$129=1,INDEX('P&amp;L'!$B$18:$AK$18,W$3-3)&gt;0,TRUE)),1,0)))</f>
        <v>0</v>
      </c>
      <c r="X70" s="98">
        <f>IF(X$3&lt;Parametres!$D$126,0,IF(W70=1,1,IF(AND(N(X$3&gt;=Parametres!$D$128+1),INDEX(Tresorerie!$C$25:$AM$25,X$3)&gt;Parametres!$D$127,INDEX(Tresorerie!$C$25:$AM$25,X$3-1)&gt;Parametres!$D$127,INDEX(Tresorerie!$C$25:$AM$25,X$3-2)&gt;Parametres!$D$127,IF(Parametres!$D$129=1,INDEX('P&amp;L'!$B$18:$AK$18,X$3-1)&gt;0,TRUE),IF(Parametres!$D$129=1,INDEX('P&amp;L'!$B$18:$AK$18,X$3-2)&gt;0,TRUE),IF(Parametres!$D$129=1,INDEX('P&amp;L'!$B$18:$AK$18,X$3-3)&gt;0,TRUE)),1,0)))</f>
        <v>0</v>
      </c>
      <c r="Y70" s="98">
        <f>IF(Y$3&lt;Parametres!$D$126,0,IF(X70=1,1,IF(AND(N(Y$3&gt;=Parametres!$D$128+1),INDEX(Tresorerie!$C$25:$AM$25,Y$3)&gt;Parametres!$D$127,INDEX(Tresorerie!$C$25:$AM$25,Y$3-1)&gt;Parametres!$D$127,INDEX(Tresorerie!$C$25:$AM$25,Y$3-2)&gt;Parametres!$D$127,IF(Parametres!$D$129=1,INDEX('P&amp;L'!$B$18:$AK$18,Y$3-1)&gt;0,TRUE),IF(Parametres!$D$129=1,INDEX('P&amp;L'!$B$18:$AK$18,Y$3-2)&gt;0,TRUE),IF(Parametres!$D$129=1,INDEX('P&amp;L'!$B$18:$AK$18,Y$3-3)&gt;0,TRUE)),1,0)))</f>
        <v>0</v>
      </c>
      <c r="Z70" s="98">
        <f>IF(Z$3&lt;Parametres!$D$126,0,IF(Y70=1,1,IF(AND(N(Z$3&gt;=Parametres!$D$128+1),INDEX(Tresorerie!$C$25:$AM$25,Z$3)&gt;Parametres!$D$127,INDEX(Tresorerie!$C$25:$AM$25,Z$3-1)&gt;Parametres!$D$127,INDEX(Tresorerie!$C$25:$AM$25,Z$3-2)&gt;Parametres!$D$127,IF(Parametres!$D$129=1,INDEX('P&amp;L'!$B$18:$AK$18,Z$3-1)&gt;0,TRUE),IF(Parametres!$D$129=1,INDEX('P&amp;L'!$B$18:$AK$18,Z$3-2)&gt;0,TRUE),IF(Parametres!$D$129=1,INDEX('P&amp;L'!$B$18:$AK$18,Z$3-3)&gt;0,TRUE)),1,0)))</f>
        <v>1</v>
      </c>
      <c r="AA70" s="98">
        <f>IF(AA$3&lt;Parametres!$D$126,0,IF(Z70=1,1,IF(AND(N(AA$3&gt;=Parametres!$D$128+1),INDEX(Tresorerie!$C$25:$AM$25,AA$3)&gt;Parametres!$D$127,INDEX(Tresorerie!$C$25:$AM$25,AA$3-1)&gt;Parametres!$D$127,INDEX(Tresorerie!$C$25:$AM$25,AA$3-2)&gt;Parametres!$D$127,IF(Parametres!$D$129=1,INDEX('P&amp;L'!$B$18:$AK$18,AA$3-1)&gt;0,TRUE),IF(Parametres!$D$129=1,INDEX('P&amp;L'!$B$18:$AK$18,AA$3-2)&gt;0,TRUE),IF(Parametres!$D$129=1,INDEX('P&amp;L'!$B$18:$AK$18,AA$3-3)&gt;0,TRUE)),1,0)))</f>
        <v>1</v>
      </c>
      <c r="AB70" s="98">
        <f>IF(AB$3&lt;Parametres!$D$126,0,IF(AA70=1,1,IF(AND(N(AB$3&gt;=Parametres!$D$128+1),INDEX(Tresorerie!$C$25:$AM$25,AB$3)&gt;Parametres!$D$127,INDEX(Tresorerie!$C$25:$AM$25,AB$3-1)&gt;Parametres!$D$127,INDEX(Tresorerie!$C$25:$AM$25,AB$3-2)&gt;Parametres!$D$127,IF(Parametres!$D$129=1,INDEX('P&amp;L'!$B$18:$AK$18,AB$3-1)&gt;0,TRUE),IF(Parametres!$D$129=1,INDEX('P&amp;L'!$B$18:$AK$18,AB$3-2)&gt;0,TRUE),IF(Parametres!$D$129=1,INDEX('P&amp;L'!$B$18:$AK$18,AB$3-3)&gt;0,TRUE)),1,0)))</f>
        <v>1</v>
      </c>
      <c r="AC70" s="98">
        <f>IF(AC$3&lt;Parametres!$D$126,0,IF(AB70=1,1,IF(AND(N(AC$3&gt;=Parametres!$D$128+1),INDEX(Tresorerie!$C$25:$AM$25,AC$3)&gt;Parametres!$D$127,INDEX(Tresorerie!$C$25:$AM$25,AC$3-1)&gt;Parametres!$D$127,INDEX(Tresorerie!$C$25:$AM$25,AC$3-2)&gt;Parametres!$D$127,IF(Parametres!$D$129=1,INDEX('P&amp;L'!$B$18:$AK$18,AC$3-1)&gt;0,TRUE),IF(Parametres!$D$129=1,INDEX('P&amp;L'!$B$18:$AK$18,AC$3-2)&gt;0,TRUE),IF(Parametres!$D$129=1,INDEX('P&amp;L'!$B$18:$AK$18,AC$3-3)&gt;0,TRUE)),1,0)))</f>
        <v>1</v>
      </c>
      <c r="AD70" s="98">
        <f>IF(AD$3&lt;Parametres!$D$126,0,IF(AC70=1,1,IF(AND(N(AD$3&gt;=Parametres!$D$128+1),INDEX(Tresorerie!$C$25:$AM$25,AD$3)&gt;Parametres!$D$127,INDEX(Tresorerie!$C$25:$AM$25,AD$3-1)&gt;Parametres!$D$127,INDEX(Tresorerie!$C$25:$AM$25,AD$3-2)&gt;Parametres!$D$127,IF(Parametres!$D$129=1,INDEX('P&amp;L'!$B$18:$AK$18,AD$3-1)&gt;0,TRUE),IF(Parametres!$D$129=1,INDEX('P&amp;L'!$B$18:$AK$18,AD$3-2)&gt;0,TRUE),IF(Parametres!$D$129=1,INDEX('P&amp;L'!$B$18:$AK$18,AD$3-3)&gt;0,TRUE)),1,0)))</f>
        <v>1</v>
      </c>
      <c r="AE70" s="98">
        <f>IF(AE$3&lt;Parametres!$D$126,0,IF(AD70=1,1,IF(AND(N(AE$3&gt;=Parametres!$D$128+1),INDEX(Tresorerie!$C$25:$AM$25,AE$3)&gt;Parametres!$D$127,INDEX(Tresorerie!$C$25:$AM$25,AE$3-1)&gt;Parametres!$D$127,INDEX(Tresorerie!$C$25:$AM$25,AE$3-2)&gt;Parametres!$D$127,IF(Parametres!$D$129=1,INDEX('P&amp;L'!$B$18:$AK$18,AE$3-1)&gt;0,TRUE),IF(Parametres!$D$129=1,INDEX('P&amp;L'!$B$18:$AK$18,AE$3-2)&gt;0,TRUE),IF(Parametres!$D$129=1,INDEX('P&amp;L'!$B$18:$AK$18,AE$3-3)&gt;0,TRUE)),1,0)))</f>
        <v>1</v>
      </c>
      <c r="AF70" s="98">
        <f>IF(AF$3&lt;Parametres!$D$126,0,IF(AE70=1,1,IF(AND(N(AF$3&gt;=Parametres!$D$128+1),INDEX(Tresorerie!$C$25:$AM$25,AF$3)&gt;Parametres!$D$127,INDEX(Tresorerie!$C$25:$AM$25,AF$3-1)&gt;Parametres!$D$127,INDEX(Tresorerie!$C$25:$AM$25,AF$3-2)&gt;Parametres!$D$127,IF(Parametres!$D$129=1,INDEX('P&amp;L'!$B$18:$AK$18,AF$3-1)&gt;0,TRUE),IF(Parametres!$D$129=1,INDEX('P&amp;L'!$B$18:$AK$18,AF$3-2)&gt;0,TRUE),IF(Parametres!$D$129=1,INDEX('P&amp;L'!$B$18:$AK$18,AF$3-3)&gt;0,TRUE)),1,0)))</f>
        <v>1</v>
      </c>
      <c r="AG70" s="98">
        <f>IF(AG$3&lt;Parametres!$D$126,0,IF(AF70=1,1,IF(AND(N(AG$3&gt;=Parametres!$D$128+1),INDEX(Tresorerie!$C$25:$AM$25,AG$3)&gt;Parametres!$D$127,INDEX(Tresorerie!$C$25:$AM$25,AG$3-1)&gt;Parametres!$D$127,INDEX(Tresorerie!$C$25:$AM$25,AG$3-2)&gt;Parametres!$D$127,IF(Parametres!$D$129=1,INDEX('P&amp;L'!$B$18:$AK$18,AG$3-1)&gt;0,TRUE),IF(Parametres!$D$129=1,INDEX('P&amp;L'!$B$18:$AK$18,AG$3-2)&gt;0,TRUE),IF(Parametres!$D$129=1,INDEX('P&amp;L'!$B$18:$AK$18,AG$3-3)&gt;0,TRUE)),1,0)))</f>
        <v>1</v>
      </c>
      <c r="AH70" s="98">
        <f>IF(AH$3&lt;Parametres!$D$126,0,IF(AG70=1,1,IF(AND(N(AH$3&gt;=Parametres!$D$128+1),INDEX(Tresorerie!$C$25:$AM$25,AH$3)&gt;Parametres!$D$127,INDEX(Tresorerie!$C$25:$AM$25,AH$3-1)&gt;Parametres!$D$127,INDEX(Tresorerie!$C$25:$AM$25,AH$3-2)&gt;Parametres!$D$127,IF(Parametres!$D$129=1,INDEX('P&amp;L'!$B$18:$AK$18,AH$3-1)&gt;0,TRUE),IF(Parametres!$D$129=1,INDEX('P&amp;L'!$B$18:$AK$18,AH$3-2)&gt;0,TRUE),IF(Parametres!$D$129=1,INDEX('P&amp;L'!$B$18:$AK$18,AH$3-3)&gt;0,TRUE)),1,0)))</f>
        <v>1</v>
      </c>
      <c r="AI70" s="98">
        <f>IF(AI$3&lt;Parametres!$D$126,0,IF(AH70=1,1,IF(AND(N(AI$3&gt;=Parametres!$D$128+1),INDEX(Tresorerie!$C$25:$AM$25,AI$3)&gt;Parametres!$D$127,INDEX(Tresorerie!$C$25:$AM$25,AI$3-1)&gt;Parametres!$D$127,INDEX(Tresorerie!$C$25:$AM$25,AI$3-2)&gt;Parametres!$D$127,IF(Parametres!$D$129=1,INDEX('P&amp;L'!$B$18:$AK$18,AI$3-1)&gt;0,TRUE),IF(Parametres!$D$129=1,INDEX('P&amp;L'!$B$18:$AK$18,AI$3-2)&gt;0,TRUE),IF(Parametres!$D$129=1,INDEX('P&amp;L'!$B$18:$AK$18,AI$3-3)&gt;0,TRUE)),1,0)))</f>
        <v>1</v>
      </c>
      <c r="AJ70" s="98">
        <f>IF(AJ$3&lt;Parametres!$D$126,0,IF(AI70=1,1,IF(AND(N(AJ$3&gt;=Parametres!$D$128+1),INDEX(Tresorerie!$C$25:$AM$25,AJ$3)&gt;Parametres!$D$127,INDEX(Tresorerie!$C$25:$AM$25,AJ$3-1)&gt;Parametres!$D$127,INDEX(Tresorerie!$C$25:$AM$25,AJ$3-2)&gt;Parametres!$D$127,IF(Parametres!$D$129=1,INDEX('P&amp;L'!$B$18:$AK$18,AJ$3-1)&gt;0,TRUE),IF(Parametres!$D$129=1,INDEX('P&amp;L'!$B$18:$AK$18,AJ$3-2)&gt;0,TRUE),IF(Parametres!$D$129=1,INDEX('P&amp;L'!$B$18:$AK$18,AJ$3-3)&gt;0,TRUE)),1,0)))</f>
        <v>1</v>
      </c>
      <c r="AK70" s="98">
        <f>IF(AK$3&lt;Parametres!$D$126,0,IF(AJ70=1,1,IF(AND(N(AK$3&gt;=Parametres!$D$128+1),INDEX(Tresorerie!$C$25:$AM$25,AK$3)&gt;Parametres!$D$127,INDEX(Tresorerie!$C$25:$AM$25,AK$3-1)&gt;Parametres!$D$127,INDEX(Tresorerie!$C$25:$AM$25,AK$3-2)&gt;Parametres!$D$127,IF(Parametres!$D$129=1,INDEX('P&amp;L'!$B$18:$AK$18,AK$3-1)&gt;0,TRUE),IF(Parametres!$D$129=1,INDEX('P&amp;L'!$B$18:$AK$18,AK$3-2)&gt;0,TRUE),IF(Parametres!$D$129=1,INDEX('P&amp;L'!$B$18:$AK$18,AK$3-3)&gt;0,TRUE)),1,0)))</f>
        <v>1</v>
      </c>
    </row>
    <row r="71" spans="1:37" x14ac:dyDescent="0.2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</row>
    <row r="72" spans="1:37" x14ac:dyDescent="0.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</row>
    <row r="73" spans="1:37" x14ac:dyDescent="0.2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</row>
    <row r="74" spans="1:37" x14ac:dyDescent="0.2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</row>
    <row r="75" spans="1:37" x14ac:dyDescent="0.2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x14ac:dyDescent="0.2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</row>
    <row r="77" spans="1:37" x14ac:dyDescent="0.2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</row>
    <row r="78" spans="1:37" x14ac:dyDescent="0.2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</row>
    <row r="79" spans="1:37" x14ac:dyDescent="0.2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</row>
    <row r="80" spans="1:37" x14ac:dyDescent="0.2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A1:AK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C26" sqref="C26"/>
    </sheetView>
  </sheetViews>
  <sheetFormatPr baseColWidth="10" defaultColWidth="8.83203125" defaultRowHeight="15" x14ac:dyDescent="0.2"/>
  <cols>
    <col min="1" max="1" width="62" customWidth="1"/>
    <col min="2" max="37" width="12" customWidth="1"/>
  </cols>
  <sheetData>
    <row r="1" spans="1:37" ht="22" customHeight="1" x14ac:dyDescent="0.25">
      <c r="A1" s="111" t="s">
        <v>386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</row>
    <row r="2" spans="1:37" x14ac:dyDescent="0.2">
      <c r="A2" s="13" t="s">
        <v>332</v>
      </c>
      <c r="B2" s="13">
        <f>'P&amp;L'!B2</f>
        <v>1</v>
      </c>
      <c r="C2" s="13">
        <f>'P&amp;L'!C2</f>
        <v>1</v>
      </c>
      <c r="D2" s="13">
        <f>'P&amp;L'!D2</f>
        <v>1</v>
      </c>
      <c r="E2" s="13">
        <f>'P&amp;L'!E2</f>
        <v>1</v>
      </c>
      <c r="F2" s="13">
        <f>'P&amp;L'!F2</f>
        <v>1</v>
      </c>
      <c r="G2" s="13">
        <f>'P&amp;L'!G2</f>
        <v>1</v>
      </c>
      <c r="H2" s="13">
        <f>'P&amp;L'!H2</f>
        <v>1</v>
      </c>
      <c r="I2" s="13">
        <f>'P&amp;L'!I2</f>
        <v>1</v>
      </c>
      <c r="J2" s="13">
        <f>'P&amp;L'!J2</f>
        <v>1</v>
      </c>
      <c r="K2" s="13">
        <f>'P&amp;L'!K2</f>
        <v>1</v>
      </c>
      <c r="L2" s="13">
        <f>'P&amp;L'!L2</f>
        <v>1</v>
      </c>
      <c r="M2" s="13">
        <f>'P&amp;L'!M2</f>
        <v>1</v>
      </c>
      <c r="N2" s="13">
        <f>'P&amp;L'!N2</f>
        <v>2</v>
      </c>
      <c r="O2" s="13">
        <f>'P&amp;L'!O2</f>
        <v>2</v>
      </c>
      <c r="P2" s="13">
        <f>'P&amp;L'!P2</f>
        <v>2</v>
      </c>
      <c r="Q2" s="13">
        <f>'P&amp;L'!Q2</f>
        <v>2</v>
      </c>
      <c r="R2" s="13">
        <f>'P&amp;L'!R2</f>
        <v>2</v>
      </c>
      <c r="S2" s="13">
        <f>'P&amp;L'!S2</f>
        <v>2</v>
      </c>
      <c r="T2" s="13">
        <f>'P&amp;L'!T2</f>
        <v>2</v>
      </c>
      <c r="U2" s="13">
        <f>'P&amp;L'!U2</f>
        <v>2</v>
      </c>
      <c r="V2" s="13">
        <f>'P&amp;L'!V2</f>
        <v>2</v>
      </c>
      <c r="W2" s="13">
        <f>'P&amp;L'!W2</f>
        <v>2</v>
      </c>
      <c r="X2" s="13">
        <f>'P&amp;L'!X2</f>
        <v>2</v>
      </c>
      <c r="Y2" s="13">
        <f>'P&amp;L'!Y2</f>
        <v>2</v>
      </c>
      <c r="Z2" s="13">
        <f>'P&amp;L'!Z2</f>
        <v>3</v>
      </c>
      <c r="AA2" s="13">
        <f>'P&amp;L'!AA2</f>
        <v>3</v>
      </c>
      <c r="AB2" s="13">
        <f>'P&amp;L'!AB2</f>
        <v>3</v>
      </c>
      <c r="AC2" s="13">
        <f>'P&amp;L'!AC2</f>
        <v>3</v>
      </c>
      <c r="AD2" s="13">
        <f>'P&amp;L'!AD2</f>
        <v>3</v>
      </c>
      <c r="AE2" s="13">
        <f>'P&amp;L'!AE2</f>
        <v>3</v>
      </c>
      <c r="AF2" s="13">
        <f>'P&amp;L'!AF2</f>
        <v>3</v>
      </c>
      <c r="AG2" s="13">
        <f>'P&amp;L'!AG2</f>
        <v>3</v>
      </c>
      <c r="AH2" s="13">
        <f>'P&amp;L'!AH2</f>
        <v>3</v>
      </c>
      <c r="AI2" s="13">
        <f>'P&amp;L'!AI2</f>
        <v>3</v>
      </c>
      <c r="AJ2" s="13">
        <f>'P&amp;L'!AJ2</f>
        <v>3</v>
      </c>
      <c r="AK2" s="13">
        <f>'P&amp;L'!AK2</f>
        <v>3</v>
      </c>
    </row>
    <row r="3" spans="1:37" x14ac:dyDescent="0.2">
      <c r="A3" s="13" t="s">
        <v>333</v>
      </c>
      <c r="B3" s="13">
        <f>'P&amp;L'!B3</f>
        <v>1</v>
      </c>
      <c r="C3" s="13">
        <f>'P&amp;L'!C3</f>
        <v>2</v>
      </c>
      <c r="D3" s="13">
        <f>'P&amp;L'!D3</f>
        <v>3</v>
      </c>
      <c r="E3" s="13">
        <f>'P&amp;L'!E3</f>
        <v>4</v>
      </c>
      <c r="F3" s="13">
        <f>'P&amp;L'!F3</f>
        <v>5</v>
      </c>
      <c r="G3" s="13">
        <f>'P&amp;L'!G3</f>
        <v>6</v>
      </c>
      <c r="H3" s="13">
        <f>'P&amp;L'!H3</f>
        <v>7</v>
      </c>
      <c r="I3" s="13">
        <f>'P&amp;L'!I3</f>
        <v>8</v>
      </c>
      <c r="J3" s="13">
        <f>'P&amp;L'!J3</f>
        <v>9</v>
      </c>
      <c r="K3" s="13">
        <f>'P&amp;L'!K3</f>
        <v>10</v>
      </c>
      <c r="L3" s="13">
        <f>'P&amp;L'!L3</f>
        <v>11</v>
      </c>
      <c r="M3" s="13">
        <f>'P&amp;L'!M3</f>
        <v>12</v>
      </c>
      <c r="N3" s="13">
        <f>'P&amp;L'!N3</f>
        <v>13</v>
      </c>
      <c r="O3" s="13">
        <f>'P&amp;L'!O3</f>
        <v>14</v>
      </c>
      <c r="P3" s="13">
        <f>'P&amp;L'!P3</f>
        <v>15</v>
      </c>
      <c r="Q3" s="13">
        <f>'P&amp;L'!Q3</f>
        <v>16</v>
      </c>
      <c r="R3" s="13">
        <f>'P&amp;L'!R3</f>
        <v>17</v>
      </c>
      <c r="S3" s="13">
        <f>'P&amp;L'!S3</f>
        <v>18</v>
      </c>
      <c r="T3" s="13">
        <f>'P&amp;L'!T3</f>
        <v>19</v>
      </c>
      <c r="U3" s="13">
        <f>'P&amp;L'!U3</f>
        <v>20</v>
      </c>
      <c r="V3" s="13">
        <f>'P&amp;L'!V3</f>
        <v>21</v>
      </c>
      <c r="W3" s="13">
        <f>'P&amp;L'!W3</f>
        <v>22</v>
      </c>
      <c r="X3" s="13">
        <f>'P&amp;L'!X3</f>
        <v>23</v>
      </c>
      <c r="Y3" s="13">
        <f>'P&amp;L'!Y3</f>
        <v>24</v>
      </c>
      <c r="Z3" s="13">
        <f>'P&amp;L'!Z3</f>
        <v>25</v>
      </c>
      <c r="AA3" s="13">
        <f>'P&amp;L'!AA3</f>
        <v>26</v>
      </c>
      <c r="AB3" s="13">
        <f>'P&amp;L'!AB3</f>
        <v>27</v>
      </c>
      <c r="AC3" s="13">
        <f>'P&amp;L'!AC3</f>
        <v>28</v>
      </c>
      <c r="AD3" s="13">
        <f>'P&amp;L'!AD3</f>
        <v>29</v>
      </c>
      <c r="AE3" s="13">
        <f>'P&amp;L'!AE3</f>
        <v>30</v>
      </c>
      <c r="AF3" s="13">
        <f>'P&amp;L'!AF3</f>
        <v>31</v>
      </c>
      <c r="AG3" s="13">
        <f>'P&amp;L'!AG3</f>
        <v>32</v>
      </c>
      <c r="AH3" s="13">
        <f>'P&amp;L'!AH3</f>
        <v>33</v>
      </c>
      <c r="AI3" s="13">
        <f>'P&amp;L'!AI3</f>
        <v>34</v>
      </c>
      <c r="AJ3" s="13">
        <f>'P&amp;L'!AJ3</f>
        <v>35</v>
      </c>
      <c r="AK3" s="13">
        <f>'P&amp;L'!AK3</f>
        <v>36</v>
      </c>
    </row>
    <row r="5" spans="1:37" x14ac:dyDescent="0.2">
      <c r="A5" s="23" t="s">
        <v>387</v>
      </c>
      <c r="B5" s="24">
        <f>'P&amp;L'!B5</f>
        <v>1394700</v>
      </c>
      <c r="C5" s="24">
        <f>'P&amp;L'!C5</f>
        <v>1455388.425</v>
      </c>
      <c r="D5" s="24">
        <f>'P&amp;L'!D5</f>
        <v>1518457.15215</v>
      </c>
      <c r="E5" s="24">
        <f>'P&amp;L'!E5</f>
        <v>1584033.8286087003</v>
      </c>
      <c r="F5" s="24">
        <f>'P&amp;L'!F5</f>
        <v>1652252.0104707067</v>
      </c>
      <c r="G5" s="24">
        <f>'P&amp;L'!G5</f>
        <v>1723251.4682179105</v>
      </c>
      <c r="H5" s="24">
        <f>'P&amp;L'!H5</f>
        <v>1856302.0340722492</v>
      </c>
      <c r="I5" s="24">
        <f>'P&amp;L'!I5</f>
        <v>1934492.3004762842</v>
      </c>
      <c r="J5" s="24">
        <f>'P&amp;L'!J5</f>
        <v>2015947.3723734012</v>
      </c>
      <c r="K5" s="24">
        <f>'P&amp;L'!K5</f>
        <v>2100835.7146387212</v>
      </c>
      <c r="L5" s="24">
        <f>'P&amp;L'!L5</f>
        <v>2189333.7822610531</v>
      </c>
      <c r="M5" s="24">
        <f>'P&amp;L'!M5</f>
        <v>2281626.4274155251</v>
      </c>
      <c r="N5" s="24">
        <f>'P&amp;L'!N5</f>
        <v>2550347.5759644657</v>
      </c>
      <c r="O5" s="24">
        <f>'P&amp;L'!O5</f>
        <v>2649509.1128086625</v>
      </c>
      <c r="P5" s="24">
        <f>'P&amp;L'!P5</f>
        <v>2752514.0529363444</v>
      </c>
      <c r="Q5" s="24">
        <f>'P&amp;L'!Q5</f>
        <v>2859537.0597735019</v>
      </c>
      <c r="R5" s="24">
        <f>'P&amp;L'!R5</f>
        <v>2970760.1980828652</v>
      </c>
      <c r="S5" s="24">
        <f>'P&amp;L'!S5</f>
        <v>3086373.2700976366</v>
      </c>
      <c r="T5" s="24">
        <f>'P&amp;L'!T5</f>
        <v>3206574.166375909</v>
      </c>
      <c r="U5" s="24">
        <f>'P&amp;L'!U5</f>
        <v>3331569.2320399843</v>
      </c>
      <c r="V5" s="24">
        <f>'P&amp;L'!V5</f>
        <v>3461573.6490942491</v>
      </c>
      <c r="W5" s="24">
        <f>'P&amp;L'!W5</f>
        <v>3596811.8355460106</v>
      </c>
      <c r="X5" s="24">
        <f>'P&amp;L'!X5</f>
        <v>3737517.8620859114</v>
      </c>
      <c r="Y5" s="24">
        <f>'P&amp;L'!Y5</f>
        <v>3883935.8871180704</v>
      </c>
      <c r="Z5" s="24">
        <f>'P&amp;L'!Z5</f>
        <v>4323137.5828078501</v>
      </c>
      <c r="AA5" s="24">
        <f>'P&amp;L'!AA5</f>
        <v>4482164.7560903095</v>
      </c>
      <c r="AB5" s="24">
        <f>'P&amp;L'!AB5</f>
        <v>4645654.4033664605</v>
      </c>
      <c r="AC5" s="24">
        <f>'P&amp;L'!AC5</f>
        <v>4813798.6996990116</v>
      </c>
      <c r="AD5" s="24">
        <f>'P&amp;L'!AD5</f>
        <v>4986795.7152400799</v>
      </c>
      <c r="AE5" s="24">
        <f>'P&amp;L'!AE5</f>
        <v>5164849.6590295993</v>
      </c>
      <c r="AF5" s="24">
        <f>'P&amp;L'!AF5</f>
        <v>5348171.1307455627</v>
      </c>
      <c r="AG5" s="24">
        <f>'P&amp;L'!AG5</f>
        <v>5536977.3807238294</v>
      </c>
      <c r="AH5" s="24">
        <f>'P&amp;L'!AH5</f>
        <v>5731492.5785759585</v>
      </c>
      <c r="AI5" s="24">
        <f>'P&amp;L'!AI5</f>
        <v>5931948.0907447897</v>
      </c>
      <c r="AJ5" s="24">
        <f>'P&amp;L'!AJ5</f>
        <v>6138582.76734915</v>
      </c>
      <c r="AK5" s="24">
        <f>'P&amp;L'!AK5</f>
        <v>6351643.2386810975</v>
      </c>
    </row>
    <row r="6" spans="1:37" x14ac:dyDescent="0.2">
      <c r="A6" s="23" t="s">
        <v>388</v>
      </c>
      <c r="B6" s="99">
        <f>-('Plan ventes'!B17+'Plan ventes'!B23+'Plan ventes'!B43+'Plan ventes'!B56)*Parametres!$D$105</f>
        <v>-90900</v>
      </c>
      <c r="C6" s="99">
        <f>-('Plan ventes'!C17+'Plan ventes'!C23+'Plan ventes'!C43+'Plan ventes'!C56)*Parametres!$D$105</f>
        <v>-92812.5</v>
      </c>
      <c r="D6" s="99">
        <f>-('Plan ventes'!D17+'Plan ventes'!D23+'Plan ventes'!D43+'Plan ventes'!D56)*Parametres!$D$105</f>
        <v>-94754.636999999988</v>
      </c>
      <c r="E6" s="99">
        <f>-('Plan ventes'!E17+'Plan ventes'!E23+'Plan ventes'!E43+'Plan ventes'!E56)*Parametres!$D$105</f>
        <v>-96727.238315999988</v>
      </c>
      <c r="F6" s="99">
        <f>-('Plan ventes'!F17+'Plan ventes'!F23+'Plan ventes'!F43+'Plan ventes'!F56)*Parametres!$D$105</f>
        <v>-98731.140380838013</v>
      </c>
      <c r="G6" s="99">
        <f>-('Plan ventes'!G17+'Plan ventes'!G23+'Plan ventes'!G43+'Plan ventes'!G56)*Parametres!$D$105</f>
        <v>-100767.18914289837</v>
      </c>
      <c r="H6" s="99">
        <f>-('Plan ventes'!H17+'Plan ventes'!H23+'Plan ventes'!H43+'Plan ventes'!H56)*Parametres!$D$105</f>
        <v>-102836.24046619399</v>
      </c>
      <c r="I6" s="99">
        <f>-('Plan ventes'!I17+'Plan ventes'!I23+'Plan ventes'!I43+'Plan ventes'!I56)*Parametres!$D$105</f>
        <v>-104939.1605320466</v>
      </c>
      <c r="J6" s="99">
        <f>-('Plan ventes'!J17+'Plan ventes'!J23+'Plan ventes'!J43+'Plan ventes'!J56)*Parametres!$D$105</f>
        <v>-107076.82624258613</v>
      </c>
      <c r="K6" s="99">
        <f>-('Plan ventes'!K17+'Plan ventes'!K23+'Plan ventes'!K43+'Plan ventes'!K56)*Parametres!$D$105</f>
        <v>-109250.12562629156</v>
      </c>
      <c r="L6" s="99">
        <f>-('Plan ventes'!L17+'Plan ventes'!L23+'Plan ventes'!L43+'Plan ventes'!L56)*Parametres!$D$105</f>
        <v>-111459.95824579183</v>
      </c>
      <c r="M6" s="99">
        <f>-('Plan ventes'!M17+'Plan ventes'!M23+'Plan ventes'!M43+'Plan ventes'!M56)*Parametres!$D$105</f>
        <v>-113707.23560814615</v>
      </c>
      <c r="N6" s="99">
        <f>-('Plan ventes'!N17+'Plan ventes'!N23+'Plan ventes'!N43+'Plan ventes'!N56)*Parametres!$D$105</f>
        <v>-125258.57250764134</v>
      </c>
      <c r="O6" s="99">
        <f>-('Plan ventes'!O17+'Plan ventes'!O23+'Plan ventes'!O43+'Plan ventes'!O56)*Parametres!$D$105</f>
        <v>-128035.79215864386</v>
      </c>
      <c r="P6" s="99">
        <f>-('Plan ventes'!P17+'Plan ventes'!P23+'Plan ventes'!P43+'Plan ventes'!P56)*Parametres!$D$105</f>
        <v>-130867.793480903</v>
      </c>
      <c r="Q6" s="99">
        <f>-('Plan ventes'!Q17+'Plan ventes'!Q23+'Plan ventes'!Q43+'Plan ventes'!Q56)*Parametres!$D$105</f>
        <v>-133755.97647922856</v>
      </c>
      <c r="R6" s="99">
        <f>-('Plan ventes'!R17+'Plan ventes'!R23+'Plan ventes'!R43+'Plan ventes'!R56)*Parametres!$D$105</f>
        <v>-136701.76647812451</v>
      </c>
      <c r="S6" s="99">
        <f>-('Plan ventes'!S17+'Plan ventes'!S23+'Plan ventes'!S43+'Plan ventes'!S56)*Parametres!$D$105</f>
        <v>-139706.61485491961</v>
      </c>
      <c r="T6" s="99">
        <f>-('Plan ventes'!T17+'Plan ventes'!T23+'Plan ventes'!T43+'Plan ventes'!T56)*Parametres!$D$105</f>
        <v>-142771.99978405811</v>
      </c>
      <c r="U6" s="99">
        <f>-('Plan ventes'!U17+'Plan ventes'!U23+'Plan ventes'!U43+'Plan ventes'!U56)*Parametres!$D$105</f>
        <v>-145899.42699295279</v>
      </c>
      <c r="V6" s="99">
        <f>-('Plan ventes'!V17+'Plan ventes'!V23+'Plan ventes'!V43+'Plan ventes'!V56)*Parametres!$D$105</f>
        <v>-149090.43052980746</v>
      </c>
      <c r="W6" s="99">
        <f>-('Plan ventes'!W17+'Plan ventes'!W23+'Plan ventes'!W43+'Plan ventes'!W56)*Parametres!$D$105</f>
        <v>-152346.57354381963</v>
      </c>
      <c r="X6" s="99">
        <f>-('Plan ventes'!X17+'Plan ventes'!X23+'Plan ventes'!X43+'Plan ventes'!X56)*Parametres!$D$105</f>
        <v>-155669.44907818004</v>
      </c>
      <c r="Y6" s="99">
        <f>-('Plan ventes'!Y17+'Plan ventes'!Y23+'Plan ventes'!Y43+'Plan ventes'!Y56)*Parametres!$D$105</f>
        <v>-159060.68087628996</v>
      </c>
      <c r="Z6" s="99">
        <f>-('Plan ventes'!Z17+'Plan ventes'!Z23+'Plan ventes'!Z43+'Plan ventes'!Z56)*Parametres!$D$105</f>
        <v>-175510.71801133369</v>
      </c>
      <c r="AA6" s="99">
        <f>-('Plan ventes'!AA17+'Plan ventes'!AA23+'Plan ventes'!AA43+'Plan ventes'!AA56)*Parametres!$D$105</f>
        <v>-180117.49110933937</v>
      </c>
      <c r="AB6" s="99">
        <f>-('Plan ventes'!AB17+'Plan ventes'!AB23+'Plan ventes'!AB43+'Plan ventes'!AB56)*Parametres!$D$105</f>
        <v>-184808.38766415993</v>
      </c>
      <c r="AC6" s="99">
        <f>-('Plan ventes'!AC17+'Plan ventes'!AC23+'Plan ventes'!AC43+'Plan ventes'!AC56)*Parametres!$D$105</f>
        <v>-189586.29270034126</v>
      </c>
      <c r="AD6" s="99">
        <f>-('Plan ventes'!AD17+'Plan ventes'!AD23+'Plan ventes'!AD43+'Plan ventes'!AD56)*Parametres!$D$105</f>
        <v>-194454.13672306351</v>
      </c>
      <c r="AE6" s="99">
        <f>-('Plan ventes'!AE17+'Plan ventes'!AE23+'Plan ventes'!AE43+'Plan ventes'!AE56)*Parametres!$D$105</f>
        <v>-199414.89758224585</v>
      </c>
      <c r="AF6" s="99">
        <f>-('Plan ventes'!AF17+'Plan ventes'!AF23+'Plan ventes'!AF43+'Plan ventes'!AF56)*Parametres!$D$105</f>
        <v>-204471.60235974242</v>
      </c>
      <c r="AG6" s="99">
        <f>-('Plan ventes'!AG17+'Plan ventes'!AG23+'Plan ventes'!AG43+'Plan ventes'!AG56)*Parametres!$D$105</f>
        <v>-209627.32928087082</v>
      </c>
      <c r="AH6" s="99">
        <f>-('Plan ventes'!AH17+'Plan ventes'!AH23+'Plan ventes'!AH43+'Plan ventes'!AH56)*Parametres!$D$105</f>
        <v>-214885.20965152583</v>
      </c>
      <c r="AI6" s="99">
        <f>-('Plan ventes'!AI17+'Plan ventes'!AI23+'Plan ventes'!AI43+'Plan ventes'!AI56)*Parametres!$D$105</f>
        <v>-220248.42982214055</v>
      </c>
      <c r="AJ6" s="99">
        <f>-('Plan ventes'!AJ17+'Plan ventes'!AJ23+'Plan ventes'!AJ43+'Plan ventes'!AJ56)*Parametres!$D$105</f>
        <v>-225720.23317977067</v>
      </c>
      <c r="AK6" s="99">
        <f>-('Plan ventes'!AK17+'Plan ventes'!AK23+'Plan ventes'!AK43+'Plan ventes'!AK56)*Parametres!$D$105</f>
        <v>-231303.92216958839</v>
      </c>
    </row>
    <row r="7" spans="1:37" x14ac:dyDescent="0.2">
      <c r="A7" s="23" t="s">
        <v>389</v>
      </c>
      <c r="B7" s="99">
        <f>-('Plan ventes'!B19+'Plan ventes'!B52)*Parametres!$D$104*(1+Parametres!$D$46)^(B$2-1)</f>
        <v>-6213.54</v>
      </c>
      <c r="C7" s="99">
        <f>-('Plan ventes'!C19+'Plan ventes'!C52)*Parametres!$D$104*(1+Parametres!$D$46)^(C$2-1)</f>
        <v>-6333.5256000000008</v>
      </c>
      <c r="D7" s="99">
        <f>-('Plan ventes'!D19+'Plan ventes'!D52)*Parametres!$D$104*(1+Parametres!$D$46)^(D$2-1)</f>
        <v>-6455.8466340000004</v>
      </c>
      <c r="E7" s="99">
        <f>-('Plan ventes'!E19+'Plan ventes'!E52)*Parametres!$D$104*(1+Parametres!$D$46)^(E$2-1)</f>
        <v>-6580.5488465100007</v>
      </c>
      <c r="F7" s="99">
        <f>-('Plan ventes'!F19+'Plan ventes'!F52)*Parametres!$D$104*(1+Parametres!$D$46)^(F$2-1)</f>
        <v>-6707.6788824676514</v>
      </c>
      <c r="G7" s="99">
        <f>-('Plan ventes'!G19+'Plan ventes'!G52)*Parametres!$D$104*(1+Parametres!$D$46)^(G$2-1)</f>
        <v>-6837.2843050298661</v>
      </c>
      <c r="H7" s="99">
        <f>-('Plan ventes'!H19+'Plan ventes'!H52)*Parametres!$D$104*(1+Parametres!$D$46)^(H$2-1)</f>
        <v>-6969.4136137170181</v>
      </c>
      <c r="I7" s="99">
        <f>-('Plan ventes'!I19+'Plan ventes'!I52)*Parametres!$D$104*(1+Parametres!$D$46)^(I$2-1)</f>
        <v>-7104.116262916712</v>
      </c>
      <c r="J7" s="99">
        <f>-('Plan ventes'!J19+'Plan ventes'!J52)*Parametres!$D$104*(1+Parametres!$D$46)^(J$2-1)</f>
        <v>-7241.4426807542786</v>
      </c>
      <c r="K7" s="99">
        <f>-('Plan ventes'!K19+'Plan ventes'!K52)*Parametres!$D$104*(1+Parametres!$D$46)^(K$2-1)</f>
        <v>-7381.4442883372867</v>
      </c>
      <c r="L7" s="99">
        <f>-('Plan ventes'!L19+'Plan ventes'!L52)*Parametres!$D$104*(1+Parametres!$D$46)^(L$2-1)</f>
        <v>-7524.1735193814729</v>
      </c>
      <c r="M7" s="99">
        <f>-('Plan ventes'!M19+'Plan ventes'!M52)*Parametres!$D$104*(1+Parametres!$D$46)^(M$2-1)</f>
        <v>-7669.6838402257044</v>
      </c>
      <c r="N7" s="99">
        <f>-('Plan ventes'!N19+'Plan ventes'!N52)*Parametres!$D$104*(1+Parametres!$D$46)^(N$2-1)</f>
        <v>-8440.2012119454812</v>
      </c>
      <c r="O7" s="99">
        <f>-('Plan ventes'!O19+'Plan ventes'!O52)*Parametres!$D$104*(1+Parametres!$D$46)^(O$2-1)</f>
        <v>-8619.0607651032333</v>
      </c>
      <c r="P7" s="99">
        <f>-('Plan ventes'!P19+'Plan ventes'!P52)*Parametres!$D$104*(1+Parametres!$D$46)^(P$2-1)</f>
        <v>-8801.7873318059774</v>
      </c>
      <c r="Q7" s="99">
        <f>-('Plan ventes'!Q19+'Plan ventes'!Q52)*Parametres!$D$104*(1+Parametres!$D$46)^(Q$2-1)</f>
        <v>-8988.4656046702712</v>
      </c>
      <c r="R7" s="99">
        <f>-('Plan ventes'!R19+'Plan ventes'!R52)*Parametres!$D$104*(1+Parametres!$D$46)^(R$2-1)</f>
        <v>-9179.182146263769</v>
      </c>
      <c r="S7" s="99">
        <f>-('Plan ventes'!S19+'Plan ventes'!S52)*Parametres!$D$104*(1+Parametres!$D$46)^(S$2-1)</f>
        <v>-9374.0254305988565</v>
      </c>
      <c r="T7" s="99">
        <f>-('Plan ventes'!T19+'Plan ventes'!T52)*Parametres!$D$104*(1+Parametres!$D$46)^(T$2-1)</f>
        <v>-9573.0858855497863</v>
      </c>
      <c r="U7" s="99">
        <f>-('Plan ventes'!U19+'Plan ventes'!U52)*Parametres!$D$104*(1+Parametres!$D$46)^(U$2-1)</f>
        <v>-9776.4559362139717</v>
      </c>
      <c r="V7" s="99">
        <f>-('Plan ventes'!V19+'Plan ventes'!V52)*Parametres!$D$104*(1+Parametres!$D$46)^(V$2-1)</f>
        <v>-9984.2300492384547</v>
      </c>
      <c r="W7" s="99">
        <f>-('Plan ventes'!W19+'Plan ventes'!W52)*Parametres!$D$104*(1+Parametres!$D$46)^(W$2-1)</f>
        <v>-10196.504778133074</v>
      </c>
      <c r="X7" s="99">
        <f>-('Plan ventes'!X19+'Plan ventes'!X52)*Parametres!$D$104*(1+Parametres!$D$46)^(X$2-1)</f>
        <v>-10413.378809592343</v>
      </c>
      <c r="Y7" s="99">
        <f>-('Plan ventes'!Y19+'Plan ventes'!Y52)*Parametres!$D$104*(1+Parametres!$D$46)^(Y$2-1)</f>
        <v>-10634.953010848527</v>
      </c>
      <c r="Z7" s="99">
        <f>-('Plan ventes'!Z19+'Plan ventes'!Z52)*Parametres!$D$104*(1+Parametres!$D$46)^(Z$2-1)</f>
        <v>-11727.151542229078</v>
      </c>
      <c r="AA7" s="99">
        <f>-('Plan ventes'!AA19+'Plan ventes'!AA52)*Parametres!$D$104*(1+Parametres!$D$46)^(AA$2-1)</f>
        <v>-11997.318686663404</v>
      </c>
      <c r="AB7" s="99">
        <f>-('Plan ventes'!AB19+'Plan ventes'!AB52)*Parametres!$D$104*(1+Parametres!$D$46)^(AB$2-1)</f>
        <v>-12273.894260371993</v>
      </c>
      <c r="AC7" s="99">
        <f>-('Plan ventes'!AC19+'Plan ventes'!AC52)*Parametres!$D$104*(1+Parametres!$D$46)^(AC$2-1)</f>
        <v>-12557.032673938142</v>
      </c>
      <c r="AD7" s="99">
        <f>-('Plan ventes'!AD19+'Plan ventes'!AD52)*Parametres!$D$104*(1+Parametres!$D$46)^(AD$2-1)</f>
        <v>-12846.89208882345</v>
      </c>
      <c r="AE7" s="99">
        <f>-('Plan ventes'!AE19+'Plan ventes'!AE52)*Parametres!$D$104*(1+Parametres!$D$46)^(AE$2-1)</f>
        <v>-13143.634508860734</v>
      </c>
      <c r="AF7" s="99">
        <f>-('Plan ventes'!AF19+'Plan ventes'!AF52)*Parametres!$D$104*(1+Parametres!$D$46)^(AF$2-1)</f>
        <v>-13447.425873983324</v>
      </c>
      <c r="AG7" s="99">
        <f>-('Plan ventes'!AG19+'Plan ventes'!AG52)*Parametres!$D$104*(1+Parametres!$D$46)^(AG$2-1)</f>
        <v>-13758.436156245465</v>
      </c>
      <c r="AH7" s="99">
        <f>-('Plan ventes'!AH19+'Plan ventes'!AH52)*Parametres!$D$104*(1+Parametres!$D$46)^(AH$2-1)</f>
        <v>-14076.839458189928</v>
      </c>
      <c r="AI7" s="99">
        <f>-('Plan ventes'!AI19+'Plan ventes'!AI52)*Parametres!$D$104*(1+Parametres!$D$46)^(AI$2-1)</f>
        <v>-14402.814113620236</v>
      </c>
      <c r="AJ7" s="99">
        <f>-('Plan ventes'!AJ19+'Plan ventes'!AJ52)*Parametres!$D$104*(1+Parametres!$D$46)^(AJ$2-1)</f>
        <v>-14736.542790836344</v>
      </c>
      <c r="AK7" s="99">
        <f>-('Plan ventes'!AK19+'Plan ventes'!AK52)*Parametres!$D$104*(1+Parametres!$D$46)^(AK$2-1)</f>
        <v>-15078.212598394068</v>
      </c>
    </row>
    <row r="8" spans="1:37" x14ac:dyDescent="0.2">
      <c r="A8" s="23" t="s">
        <v>390</v>
      </c>
      <c r="B8" s="99">
        <f>-'Plan ventes'!B64*Parametres!$D$106</f>
        <v>-102000</v>
      </c>
      <c r="C8" s="99">
        <f>-'Plan ventes'!C64*Parametres!$D$106</f>
        <v>-103949.99999999999</v>
      </c>
      <c r="D8" s="99">
        <f>-'Plan ventes'!D64*Parametres!$D$106</f>
        <v>-105937.56</v>
      </c>
      <c r="E8" s="99">
        <f>-'Plan ventes'!E64*Parametres!$D$106</f>
        <v>-107963.40798000002</v>
      </c>
      <c r="F8" s="99">
        <f>-'Plan ventes'!F64*Parametres!$D$106</f>
        <v>-110028.28610214002</v>
      </c>
      <c r="G8" s="99">
        <f>-'Plan ventes'!G64*Parametres!$D$106</f>
        <v>-112132.95098815604</v>
      </c>
      <c r="H8" s="99">
        <f>-'Plan ventes'!H64*Parametres!$D$106</f>
        <v>-114278.17400228301</v>
      </c>
      <c r="I8" s="99">
        <f>-'Plan ventes'!I64*Parametres!$D$106</f>
        <v>-116464.74153971177</v>
      </c>
      <c r="J8" s="99">
        <f>-'Plan ventes'!J64*Parametres!$D$106</f>
        <v>-118693.4553207095</v>
      </c>
      <c r="K8" s="99">
        <f>-'Plan ventes'!K64*Parametres!$D$106</f>
        <v>-120965.13269051519</v>
      </c>
      <c r="L8" s="99">
        <f>-'Plan ventes'!L64*Parametres!$D$106</f>
        <v>-123280.6069251236</v>
      </c>
      <c r="M8" s="99">
        <f>-'Plan ventes'!M64*Parametres!$D$106</f>
        <v>-125640.72754307414</v>
      </c>
      <c r="N8" s="99">
        <f>-'Plan ventes'!N64*Parametres!$D$106</f>
        <v>-128003.95446161585</v>
      </c>
      <c r="O8" s="99">
        <f>-'Plan ventes'!O64*Parametres!$D$106</f>
        <v>-130696.71403148781</v>
      </c>
      <c r="P8" s="99">
        <f>-'Plan ventes'!P64*Parametres!$D$106</f>
        <v>-133447.13279802643</v>
      </c>
      <c r="Q8" s="99">
        <f>-'Plan ventes'!Q64*Parametres!$D$106</f>
        <v>-136256.46020251996</v>
      </c>
      <c r="R8" s="99">
        <f>-'Plan ventes'!R64*Parametres!$D$106</f>
        <v>-139125.97297698964</v>
      </c>
      <c r="S8" s="99">
        <f>-'Plan ventes'!S64*Parametres!$D$106</f>
        <v>-142056.97574346873</v>
      </c>
      <c r="T8" s="99">
        <f>-'Plan ventes'!T64*Parametres!$D$106</f>
        <v>-145050.801626489</v>
      </c>
      <c r="U8" s="99">
        <f>-'Plan ventes'!U64*Parametres!$D$106</f>
        <v>-148108.81287906633</v>
      </c>
      <c r="V8" s="99">
        <f>-'Plan ventes'!V64*Parametres!$D$106</f>
        <v>-151232.40152248438</v>
      </c>
      <c r="W8" s="99">
        <f>-'Plan ventes'!W64*Parametres!$D$106</f>
        <v>-154422.99000018017</v>
      </c>
      <c r="X8" s="99">
        <f>-'Plan ventes'!X64*Parametres!$D$106</f>
        <v>-157682.03184604453</v>
      </c>
      <c r="Y8" s="99">
        <f>-'Plan ventes'!Y64*Parametres!$D$106</f>
        <v>-161011.01236745462</v>
      </c>
      <c r="Z8" s="99">
        <f>-'Plan ventes'!Z64*Parametres!$D$106</f>
        <v>-164374.41194504782</v>
      </c>
      <c r="AA8" s="99">
        <f>-'Plan ventes'!AA64*Parametres!$D$106</f>
        <v>-168195.6160519243</v>
      </c>
      <c r="AB8" s="99">
        <f>-'Plan ventes'!AB64*Parametres!$D$106</f>
        <v>-172107.90783919039</v>
      </c>
      <c r="AC8" s="99">
        <f>-'Plan ventes'!AC64*Parametres!$D$106</f>
        <v>-176113.4877206962</v>
      </c>
      <c r="AD8" s="99">
        <f>-'Plan ventes'!AD64*Parametres!$D$106</f>
        <v>-180214.6096323549</v>
      </c>
      <c r="AE8" s="99">
        <f>-'Plan ventes'!AE64*Parametres!$D$106</f>
        <v>-184413.58233854503</v>
      </c>
      <c r="AF8" s="99">
        <f>-'Plan ventes'!AF64*Parametres!$D$106</f>
        <v>-188712.77077045609</v>
      </c>
      <c r="AG8" s="99">
        <f>-'Plan ventes'!AG64*Parametres!$D$106</f>
        <v>-193114.59739715952</v>
      </c>
      <c r="AH8" s="99">
        <f>-'Plan ventes'!AH64*Parametres!$D$106</f>
        <v>-197621.54363020603</v>
      </c>
      <c r="AI8" s="99">
        <f>-'Plan ventes'!AI64*Parametres!$D$106</f>
        <v>-202236.15126257029</v>
      </c>
      <c r="AJ8" s="99">
        <f>-'Plan ventes'!AJ64*Parametres!$D$106</f>
        <v>-206961.02394278208</v>
      </c>
      <c r="AK8" s="99">
        <f>-'Plan ventes'!AK64*Parametres!$D$106</f>
        <v>-211798.8286851072</v>
      </c>
    </row>
    <row r="9" spans="1:37" x14ac:dyDescent="0.2">
      <c r="A9" s="23" t="s">
        <v>391</v>
      </c>
      <c r="B9" s="99">
        <f>-'Plan ventes'!B66*Parametres!$D$107</f>
        <v>-189900</v>
      </c>
      <c r="C9" s="99">
        <f>-'Plan ventes'!C66*Parametres!$D$107</f>
        <v>-62152.499999999993</v>
      </c>
      <c r="D9" s="99">
        <f>-'Plan ventes'!D66*Parametres!$D$107</f>
        <v>-63215.652000000016</v>
      </c>
      <c r="E9" s="99">
        <f>-'Plan ventes'!E66*Parametres!$D$107</f>
        <v>-64304.471091000007</v>
      </c>
      <c r="F9" s="99">
        <f>-'Plan ventes'!F66*Parametres!$D$107</f>
        <v>-65419.71312096301</v>
      </c>
      <c r="G9" s="99">
        <f>-'Plan ventes'!G66*Parametres!$D$107</f>
        <v>-66562.16153842023</v>
      </c>
      <c r="H9" s="99">
        <f>-'Plan ventes'!H66*Parametres!$D$107</f>
        <v>-67732.628574464863</v>
      </c>
      <c r="I9" s="99">
        <f>-'Plan ventes'!I66*Parametres!$D$107</f>
        <v>-68931.956479979664</v>
      </c>
      <c r="J9" s="99">
        <f>-'Plan ventes'!J66*Parametres!$D$107</f>
        <v>-70161.018820784127</v>
      </c>
      <c r="K9" s="99">
        <f>-'Plan ventes'!K66*Parametres!$D$107</f>
        <v>-71420.721833519929</v>
      </c>
      <c r="L9" s="99">
        <f>-'Plan ventes'!L66*Parametres!$D$107</f>
        <v>-72712.005845233114</v>
      </c>
      <c r="M9" s="99">
        <f>-'Plan ventes'!M66*Parametres!$D$107</f>
        <v>-74035.846759757231</v>
      </c>
      <c r="N9" s="99">
        <f>-'Plan ventes'!N66*Parametres!$D$107</f>
        <v>-74604.52213021736</v>
      </c>
      <c r="O9" s="99">
        <f>-'Plan ventes'!O66*Parametres!$D$107</f>
        <v>-76394.289588069165</v>
      </c>
      <c r="P9" s="99">
        <f>-'Plan ventes'!P66*Parametres!$D$107</f>
        <v>-77881.557577553845</v>
      </c>
      <c r="Q9" s="99">
        <f>-'Plan ventes'!Q66*Parametres!$D$107</f>
        <v>-79406.495990666008</v>
      </c>
      <c r="R9" s="99">
        <f>-'Plan ventes'!R66*Parametres!$D$107</f>
        <v>-80970.178515904321</v>
      </c>
      <c r="S9" s="99">
        <f>-'Plan ventes'!S66*Parametres!$D$107</f>
        <v>-82573.713715345933</v>
      </c>
      <c r="T9" s="99">
        <f>-'Plan ventes'!T66*Parametres!$D$107</f>
        <v>-84218.246298583603</v>
      </c>
      <c r="U9" s="99">
        <f>-'Plan ventes'!U66*Parametres!$D$107</f>
        <v>-85904.958447383513</v>
      </c>
      <c r="V9" s="99">
        <f>-'Plan ventes'!V66*Parametres!$D$107</f>
        <v>-87635.07119319505</v>
      </c>
      <c r="W9" s="99">
        <f>-'Plan ventes'!W66*Parametres!$D$107</f>
        <v>-89409.845849735211</v>
      </c>
      <c r="X9" s="99">
        <f>-'Plan ventes'!X66*Parametres!$D$107</f>
        <v>-91230.585502967369</v>
      </c>
      <c r="Y9" s="99">
        <f>-'Plan ventes'!Y66*Parametres!$D$107</f>
        <v>-93098.636560894432</v>
      </c>
      <c r="Z9" s="99">
        <f>-'Plan ventes'!Z66*Parametres!$D$107</f>
        <v>-93550.657512511723</v>
      </c>
      <c r="AA9" s="99">
        <f>-'Plan ventes'!AA66*Parametres!$D$107</f>
        <v>-113953.05282625573</v>
      </c>
      <c r="AB9" s="99">
        <f>-'Plan ventes'!AB66*Parametres!$D$107</f>
        <v>-116017.26056209723</v>
      </c>
      <c r="AC9" s="99">
        <f>-'Plan ventes'!AC66*Parametres!$D$107</f>
        <v>-118134.60572491055</v>
      </c>
      <c r="AD9" s="99">
        <f>-'Plan ventes'!AD66*Parametres!$D$107</f>
        <v>-120306.51254903915</v>
      </c>
      <c r="AE9" s="99">
        <f>-'Plan ventes'!AE66*Parametres!$D$107</f>
        <v>-122534.44500464524</v>
      </c>
      <c r="AF9" s="99">
        <f>-'Plan ventes'!AF66*Parametres!$D$107</f>
        <v>-124819.90795341527</v>
      </c>
      <c r="AG9" s="99">
        <f>-'Plan ventes'!AG66*Parametres!$D$107</f>
        <v>-127164.44833932749</v>
      </c>
      <c r="AH9" s="99">
        <f>-'Plan ventes'!AH66*Parametres!$D$107</f>
        <v>-129569.65641558812</v>
      </c>
      <c r="AI9" s="99">
        <f>-'Plan ventes'!AI66*Parametres!$D$107</f>
        <v>-132037.16700888111</v>
      </c>
      <c r="AJ9" s="99">
        <f>-'Plan ventes'!AJ66*Parametres!$D$107</f>
        <v>-134568.66082211118</v>
      </c>
      <c r="AK9" s="99">
        <f>-'Plan ventes'!AK66*Parametres!$D$107</f>
        <v>-137165.86577686216</v>
      </c>
    </row>
    <row r="10" spans="1:37" x14ac:dyDescent="0.2">
      <c r="A10" s="23" t="s">
        <v>392</v>
      </c>
      <c r="B10" s="99">
        <f>-'Plan ventes'!B60*Parametres!$D$108</f>
        <v>-29700</v>
      </c>
      <c r="C10" s="99">
        <f>-'Plan ventes'!C60*Parametres!$D$108</f>
        <v>-30283.5</v>
      </c>
      <c r="D10" s="99">
        <f>-'Plan ventes'!D60*Parametres!$D$108</f>
        <v>-30878.499</v>
      </c>
      <c r="E10" s="99">
        <f>-'Plan ventes'!E60*Parametres!$D$108</f>
        <v>-31485.224172000006</v>
      </c>
      <c r="F10" s="99">
        <f>-'Plan ventes'!F60*Parametres!$D$108</f>
        <v>-32103.907184946005</v>
      </c>
      <c r="G10" s="99">
        <f>-'Plan ventes'!G60*Parametres!$D$108</f>
        <v>-32734.784293892786</v>
      </c>
      <c r="H10" s="99">
        <f>-'Plan ventes'!H60*Parametres!$D$108</f>
        <v>-33378.096430936872</v>
      </c>
      <c r="I10" s="99">
        <f>-'Plan ventes'!I60*Parametres!$D$108</f>
        <v>-34034.08929795491</v>
      </c>
      <c r="J10" s="99">
        <f>-'Plan ventes'!J60*Parametres!$D$108</f>
        <v>-34703.013461183233</v>
      </c>
      <c r="K10" s="99">
        <f>-'Plan ventes'!K60*Parametres!$D$108</f>
        <v>-35385.124447675407</v>
      </c>
      <c r="L10" s="99">
        <f>-'Plan ventes'!L60*Parametres!$D$108</f>
        <v>-36080.682843674811</v>
      </c>
      <c r="M10" s="99">
        <f>-'Plan ventes'!M60*Parametres!$D$108</f>
        <v>-36789.9543949406</v>
      </c>
      <c r="N10" s="99">
        <f>-'Plan ventes'!N60*Parametres!$D$108</f>
        <v>-40509.687052322246</v>
      </c>
      <c r="O10" s="99">
        <f>-'Plan ventes'!O60*Parametres!$D$108</f>
        <v>-41394.962049496498</v>
      </c>
      <c r="P10" s="99">
        <f>-'Plan ventes'!P60*Parametres!$D$108</f>
        <v>-42299.711550351087</v>
      </c>
      <c r="Q10" s="99">
        <f>-'Plan ventes'!Q60*Parametres!$D$108</f>
        <v>-43224.365804758098</v>
      </c>
      <c r="R10" s="99">
        <f>-'Plan ventes'!R60*Parametres!$D$108</f>
        <v>-44169.364595039624</v>
      </c>
      <c r="S10" s="99">
        <f>-'Plan ventes'!S60*Parametres!$D$108</f>
        <v>-45135.157447568046</v>
      </c>
      <c r="T10" s="99">
        <f>-'Plan ventes'!T60*Parametres!$D$108</f>
        <v>-46122.203849069701</v>
      </c>
      <c r="U10" s="99">
        <f>-'Plan ventes'!U60*Parametres!$D$108</f>
        <v>-47130.973467736432</v>
      </c>
      <c r="V10" s="99">
        <f>-'Plan ventes'!V60*Parametres!$D$108</f>
        <v>-48161.946379252084</v>
      </c>
      <c r="W10" s="99">
        <f>-'Plan ventes'!W60*Parametres!$D$108</f>
        <v>-49215.613297843316</v>
      </c>
      <c r="X10" s="99">
        <f>-'Plan ventes'!X60*Parametres!$D$108</f>
        <v>-50292.475812466349</v>
      </c>
      <c r="Y10" s="99">
        <f>-'Plan ventes'!Y60*Parametres!$D$108</f>
        <v>-51393.046628244141</v>
      </c>
      <c r="Z10" s="99">
        <f>-'Plan ventes'!Z60*Parametres!$D$108</f>
        <v>-56714.957756192664</v>
      </c>
      <c r="AA10" s="99">
        <f>-'Plan ventes'!AA60*Parametres!$D$108</f>
        <v>-58080.258436288786</v>
      </c>
      <c r="AB10" s="99">
        <f>-'Plan ventes'!AB60*Parametres!$D$108</f>
        <v>-59478.708979233706</v>
      </c>
      <c r="AC10" s="99">
        <f>-'Plan ventes'!AC60*Parametres!$D$108</f>
        <v>-60911.117798558735</v>
      </c>
      <c r="AD10" s="99">
        <f>-'Plan ventes'!AD60*Parametres!$D$108</f>
        <v>-62378.313065846138</v>
      </c>
      <c r="AE10" s="99">
        <f>-'Plan ventes'!AE60*Parametres!$D$108</f>
        <v>-63881.14319416217</v>
      </c>
      <c r="AF10" s="99">
        <f>-'Plan ventes'!AF60*Parametres!$D$108</f>
        <v>-65420.477333325282</v>
      </c>
      <c r="AG10" s="99">
        <f>-'Plan ventes'!AG60*Parametres!$D$108</f>
        <v>-66997.205877299086</v>
      </c>
      <c r="AH10" s="99">
        <f>-'Plan ventes'!AH60*Parametres!$D$108</f>
        <v>-68612.240984007149</v>
      </c>
      <c r="AI10" s="99">
        <f>-'Plan ventes'!AI60*Parametres!$D$108</f>
        <v>-70266.517107873777</v>
      </c>
      <c r="AJ10" s="99">
        <f>-'Plan ventes'!AJ60*Parametres!$D$108</f>
        <v>-71960.991545402328</v>
      </c>
      <c r="AK10" s="99">
        <f>-'Plan ventes'!AK60*Parametres!$D$108</f>
        <v>-73696.644994110538</v>
      </c>
    </row>
    <row r="11" spans="1:37" ht="16" customHeight="1" x14ac:dyDescent="0.2">
      <c r="A11" s="25" t="s">
        <v>393</v>
      </c>
      <c r="B11" s="26">
        <f t="shared" ref="B11:AK11" si="0">B6+B7+B8+B9+B10</f>
        <v>-418713.54</v>
      </c>
      <c r="C11" s="26">
        <f t="shared" si="0"/>
        <v>-295532.02559999999</v>
      </c>
      <c r="D11" s="26">
        <f t="shared" si="0"/>
        <v>-301242.19463400001</v>
      </c>
      <c r="E11" s="26">
        <f t="shared" si="0"/>
        <v>-307060.89040551003</v>
      </c>
      <c r="F11" s="26">
        <f t="shared" si="0"/>
        <v>-312990.72567135468</v>
      </c>
      <c r="G11" s="26">
        <f t="shared" si="0"/>
        <v>-319034.37026839732</v>
      </c>
      <c r="H11" s="26">
        <f t="shared" si="0"/>
        <v>-325194.55308759579</v>
      </c>
      <c r="I11" s="26">
        <f t="shared" si="0"/>
        <v>-331474.06411260966</v>
      </c>
      <c r="J11" s="26">
        <f t="shared" si="0"/>
        <v>-337875.75652601727</v>
      </c>
      <c r="K11" s="26">
        <f t="shared" si="0"/>
        <v>-344402.54888633941</v>
      </c>
      <c r="L11" s="26">
        <f t="shared" si="0"/>
        <v>-351057.42737920478</v>
      </c>
      <c r="M11" s="26">
        <f t="shared" si="0"/>
        <v>-357843.44814614375</v>
      </c>
      <c r="N11" s="26">
        <f t="shared" si="0"/>
        <v>-376816.93736374227</v>
      </c>
      <c r="O11" s="26">
        <f t="shared" si="0"/>
        <v>-385140.81859280053</v>
      </c>
      <c r="P11" s="26">
        <f t="shared" si="0"/>
        <v>-393297.98273864028</v>
      </c>
      <c r="Q11" s="26">
        <f t="shared" si="0"/>
        <v>-401631.76408184291</v>
      </c>
      <c r="R11" s="26">
        <f t="shared" si="0"/>
        <v>-410146.46471232187</v>
      </c>
      <c r="S11" s="26">
        <f t="shared" si="0"/>
        <v>-418846.48719190119</v>
      </c>
      <c r="T11" s="26">
        <f t="shared" si="0"/>
        <v>-427736.33744375018</v>
      </c>
      <c r="U11" s="26">
        <f t="shared" si="0"/>
        <v>-436820.62772335304</v>
      </c>
      <c r="V11" s="26">
        <f t="shared" si="0"/>
        <v>-446104.07967397739</v>
      </c>
      <c r="W11" s="26">
        <f t="shared" si="0"/>
        <v>-455591.52746971138</v>
      </c>
      <c r="X11" s="26">
        <f t="shared" si="0"/>
        <v>-465287.92104925064</v>
      </c>
      <c r="Y11" s="26">
        <f t="shared" si="0"/>
        <v>-475198.32944373169</v>
      </c>
      <c r="Z11" s="26">
        <f t="shared" si="0"/>
        <v>-501877.89676731499</v>
      </c>
      <c r="AA11" s="26">
        <f t="shared" si="0"/>
        <v>-532343.73711047159</v>
      </c>
      <c r="AB11" s="26">
        <f t="shared" si="0"/>
        <v>-544686.1593050533</v>
      </c>
      <c r="AC11" s="26">
        <f t="shared" si="0"/>
        <v>-557302.53661844495</v>
      </c>
      <c r="AD11" s="26">
        <f t="shared" si="0"/>
        <v>-570200.46405912715</v>
      </c>
      <c r="AE11" s="26">
        <f t="shared" si="0"/>
        <v>-583387.70262845908</v>
      </c>
      <c r="AF11" s="26">
        <f t="shared" si="0"/>
        <v>-596872.18429092248</v>
      </c>
      <c r="AG11" s="26">
        <f t="shared" si="0"/>
        <v>-610662.01705090236</v>
      </c>
      <c r="AH11" s="26">
        <f t="shared" si="0"/>
        <v>-624765.490139517</v>
      </c>
      <c r="AI11" s="26">
        <f t="shared" si="0"/>
        <v>-639191.07931508601</v>
      </c>
      <c r="AJ11" s="26">
        <f t="shared" si="0"/>
        <v>-653947.45228090265</v>
      </c>
      <c r="AK11" s="26">
        <f t="shared" si="0"/>
        <v>-669043.4742240624</v>
      </c>
    </row>
    <row r="12" spans="1:37" ht="16" customHeight="1" x14ac:dyDescent="0.2">
      <c r="A12" s="25" t="s">
        <v>394</v>
      </c>
      <c r="B12" s="26">
        <f t="shared" ref="B12:AK12" si="1">B5+B11</f>
        <v>975986.46</v>
      </c>
      <c r="C12" s="26">
        <f t="shared" si="1"/>
        <v>1159856.3994</v>
      </c>
      <c r="D12" s="26">
        <f t="shared" si="1"/>
        <v>1217214.9575159999</v>
      </c>
      <c r="E12" s="26">
        <f t="shared" si="1"/>
        <v>1276972.9382031902</v>
      </c>
      <c r="F12" s="26">
        <f t="shared" si="1"/>
        <v>1339261.2847993521</v>
      </c>
      <c r="G12" s="26">
        <f t="shared" si="1"/>
        <v>1404217.0979495132</v>
      </c>
      <c r="H12" s="26">
        <f t="shared" si="1"/>
        <v>1531107.4809846533</v>
      </c>
      <c r="I12" s="26">
        <f t="shared" si="1"/>
        <v>1603018.2363636745</v>
      </c>
      <c r="J12" s="26">
        <f t="shared" si="1"/>
        <v>1678071.6158473839</v>
      </c>
      <c r="K12" s="26">
        <f t="shared" si="1"/>
        <v>1756433.1657523818</v>
      </c>
      <c r="L12" s="26">
        <f t="shared" si="1"/>
        <v>1838276.3548818482</v>
      </c>
      <c r="M12" s="26">
        <f t="shared" si="1"/>
        <v>1923782.9792693814</v>
      </c>
      <c r="N12" s="26">
        <f t="shared" si="1"/>
        <v>2173530.6386007234</v>
      </c>
      <c r="O12" s="26">
        <f t="shared" si="1"/>
        <v>2264368.2942158617</v>
      </c>
      <c r="P12" s="26">
        <f t="shared" si="1"/>
        <v>2359216.0701977042</v>
      </c>
      <c r="Q12" s="26">
        <f t="shared" si="1"/>
        <v>2457905.2956916592</v>
      </c>
      <c r="R12" s="26">
        <f t="shared" si="1"/>
        <v>2560613.7333705435</v>
      </c>
      <c r="S12" s="26">
        <f t="shared" si="1"/>
        <v>2667526.7829057355</v>
      </c>
      <c r="T12" s="26">
        <f t="shared" si="1"/>
        <v>2778837.8289321586</v>
      </c>
      <c r="U12" s="26">
        <f t="shared" si="1"/>
        <v>2894748.6043166313</v>
      </c>
      <c r="V12" s="26">
        <f t="shared" si="1"/>
        <v>3015469.5694202716</v>
      </c>
      <c r="W12" s="26">
        <f t="shared" si="1"/>
        <v>3141220.3080762993</v>
      </c>
      <c r="X12" s="26">
        <f t="shared" si="1"/>
        <v>3272229.9410366607</v>
      </c>
      <c r="Y12" s="26">
        <f t="shared" si="1"/>
        <v>3408737.5576743386</v>
      </c>
      <c r="Z12" s="26">
        <f t="shared" si="1"/>
        <v>3821259.6860405351</v>
      </c>
      <c r="AA12" s="26">
        <f t="shared" si="1"/>
        <v>3949821.0189798381</v>
      </c>
      <c r="AB12" s="26">
        <f t="shared" si="1"/>
        <v>4100968.2440614072</v>
      </c>
      <c r="AC12" s="26">
        <f t="shared" si="1"/>
        <v>4256496.1630805666</v>
      </c>
      <c r="AD12" s="26">
        <f t="shared" si="1"/>
        <v>4416595.2511809524</v>
      </c>
      <c r="AE12" s="26">
        <f t="shared" si="1"/>
        <v>4581461.9564011404</v>
      </c>
      <c r="AF12" s="26">
        <f t="shared" si="1"/>
        <v>4751298.9464546405</v>
      </c>
      <c r="AG12" s="26">
        <f t="shared" si="1"/>
        <v>4926315.363672927</v>
      </c>
      <c r="AH12" s="26">
        <f t="shared" si="1"/>
        <v>5106727.0884364415</v>
      </c>
      <c r="AI12" s="26">
        <f t="shared" si="1"/>
        <v>5292757.0114297038</v>
      </c>
      <c r="AJ12" s="26">
        <f t="shared" si="1"/>
        <v>5484635.3150682477</v>
      </c>
      <c r="AK12" s="26">
        <f t="shared" si="1"/>
        <v>5682599.7644570349</v>
      </c>
    </row>
    <row r="13" spans="1:37" x14ac:dyDescent="0.2">
      <c r="A13" s="23" t="s">
        <v>395</v>
      </c>
      <c r="B13" s="27">
        <f t="shared" ref="B13:AK13" si="2">IF(B5=0,0,B12/B5)</f>
        <v>0.69978236179823616</v>
      </c>
      <c r="C13" s="27">
        <f t="shared" si="2"/>
        <v>0.7969394145758717</v>
      </c>
      <c r="D13" s="27">
        <f t="shared" si="2"/>
        <v>0.80161297656146047</v>
      </c>
      <c r="E13" s="27">
        <f t="shared" si="2"/>
        <v>0.80615256766630428</v>
      </c>
      <c r="F13" s="27">
        <f t="shared" si="2"/>
        <v>0.81056719938129329</v>
      </c>
      <c r="G13" s="27">
        <f t="shared" si="2"/>
        <v>0.81486487831150689</v>
      </c>
      <c r="H13" s="27">
        <f t="shared" si="2"/>
        <v>0.82481592590069908</v>
      </c>
      <c r="I13" s="27">
        <f t="shared" si="2"/>
        <v>0.82865061596213196</v>
      </c>
      <c r="J13" s="27">
        <f t="shared" si="2"/>
        <v>0.83239852331649322</v>
      </c>
      <c r="K13" s="27">
        <f t="shared" si="2"/>
        <v>0.83606402609850627</v>
      </c>
      <c r="L13" s="27">
        <f t="shared" si="2"/>
        <v>0.83965102524629787</v>
      </c>
      <c r="M13" s="27">
        <f t="shared" si="2"/>
        <v>0.84316299818130835</v>
      </c>
      <c r="N13" s="27">
        <f t="shared" si="2"/>
        <v>0.85224879113928564</v>
      </c>
      <c r="O13" s="27">
        <f t="shared" si="2"/>
        <v>0.85463691491722216</v>
      </c>
      <c r="P13" s="27">
        <f t="shared" si="2"/>
        <v>0.85711317901571649</v>
      </c>
      <c r="Q13" s="27">
        <f t="shared" si="2"/>
        <v>0.85954657845432669</v>
      </c>
      <c r="R13" s="27">
        <f t="shared" si="2"/>
        <v>0.8619388852129487</v>
      </c>
      <c r="S13" s="27">
        <f t="shared" si="2"/>
        <v>0.86429169431646513</v>
      </c>
      <c r="T13" s="27">
        <f t="shared" si="2"/>
        <v>0.86660644187526126</v>
      </c>
      <c r="U13" s="27">
        <f t="shared" si="2"/>
        <v>0.86888442133442345</v>
      </c>
      <c r="V13" s="27">
        <f t="shared" si="2"/>
        <v>0.87112679812815641</v>
      </c>
      <c r="W13" s="27">
        <f t="shared" si="2"/>
        <v>0.87333462291041675</v>
      </c>
      <c r="X13" s="27">
        <f t="shared" si="2"/>
        <v>0.87550884351103186</v>
      </c>
      <c r="Y13" s="27">
        <f t="shared" si="2"/>
        <v>0.8776503157480452</v>
      </c>
      <c r="Z13" s="27">
        <f t="shared" si="2"/>
        <v>0.88390887702413845</v>
      </c>
      <c r="AA13" s="27">
        <f t="shared" si="2"/>
        <v>0.88123066284274143</v>
      </c>
      <c r="AB13" s="27">
        <f t="shared" si="2"/>
        <v>0.88275362047802175</v>
      </c>
      <c r="AC13" s="27">
        <f t="shared" si="2"/>
        <v>0.88422811767070963</v>
      </c>
      <c r="AD13" s="27">
        <f t="shared" si="2"/>
        <v>0.88565794618044102</v>
      </c>
      <c r="AE13" s="27">
        <f t="shared" si="2"/>
        <v>0.88704652775158044</v>
      </c>
      <c r="AF13" s="27">
        <f t="shared" si="2"/>
        <v>0.88839695482823577</v>
      </c>
      <c r="AG13" s="27">
        <f t="shared" si="2"/>
        <v>0.88971202606374511</v>
      </c>
      <c r="AH13" s="27">
        <f t="shared" si="2"/>
        <v>0.89099427739383974</v>
      </c>
      <c r="AI13" s="27">
        <f t="shared" si="2"/>
        <v>0.8922460093148199</v>
      </c>
      <c r="AJ13" s="27">
        <f t="shared" si="2"/>
        <v>0.89346931090361448</v>
      </c>
      <c r="AK13" s="27">
        <f t="shared" si="2"/>
        <v>0.89466608103086909</v>
      </c>
    </row>
    <row r="15" spans="1:37" x14ac:dyDescent="0.2">
      <c r="A15" s="23" t="s">
        <v>396</v>
      </c>
      <c r="B15" s="99">
        <f>-'Plan ventes'!B6</f>
        <v>-400000</v>
      </c>
      <c r="C15" s="99">
        <f>-'Plan ventes'!C6</f>
        <v>-400000</v>
      </c>
      <c r="D15" s="99">
        <f>-'Plan ventes'!D6</f>
        <v>-400000</v>
      </c>
      <c r="E15" s="99">
        <f>-'Plan ventes'!E6</f>
        <v>-400000</v>
      </c>
      <c r="F15" s="99">
        <f>-'Plan ventes'!F6</f>
        <v>-400000</v>
      </c>
      <c r="G15" s="99">
        <f>-'Plan ventes'!G6</f>
        <v>-400000</v>
      </c>
      <c r="H15" s="99">
        <f>-'Plan ventes'!H6</f>
        <v>-400000</v>
      </c>
      <c r="I15" s="99">
        <f>-'Plan ventes'!I6</f>
        <v>-400000</v>
      </c>
      <c r="J15" s="99">
        <f>-'Plan ventes'!J6</f>
        <v>-400000</v>
      </c>
      <c r="K15" s="99">
        <f>-'Plan ventes'!K6</f>
        <v>-400000</v>
      </c>
      <c r="L15" s="99">
        <f>-'Plan ventes'!L6</f>
        <v>-400000</v>
      </c>
      <c r="M15" s="99">
        <f>-'Plan ventes'!M6</f>
        <v>-400000</v>
      </c>
      <c r="N15" s="99">
        <f>-'Plan ventes'!N6</f>
        <v>-500000</v>
      </c>
      <c r="O15" s="99">
        <f>-'Plan ventes'!O6</f>
        <v>-500000</v>
      </c>
      <c r="P15" s="99">
        <f>-'Plan ventes'!P6</f>
        <v>-500000</v>
      </c>
      <c r="Q15" s="99">
        <f>-'Plan ventes'!Q6</f>
        <v>-500000</v>
      </c>
      <c r="R15" s="99">
        <f>-'Plan ventes'!R6</f>
        <v>-500000</v>
      </c>
      <c r="S15" s="99">
        <f>-'Plan ventes'!S6</f>
        <v>-500000</v>
      </c>
      <c r="T15" s="99">
        <f>-'Plan ventes'!T6</f>
        <v>-500000</v>
      </c>
      <c r="U15" s="99">
        <f>-'Plan ventes'!U6</f>
        <v>-500000</v>
      </c>
      <c r="V15" s="99">
        <f>-'Plan ventes'!V6</f>
        <v>-500000</v>
      </c>
      <c r="W15" s="99">
        <f>-'Plan ventes'!W6</f>
        <v>-500000</v>
      </c>
      <c r="X15" s="99">
        <f>-'Plan ventes'!X6</f>
        <v>-500000</v>
      </c>
      <c r="Y15" s="99">
        <f>-'Plan ventes'!Y6</f>
        <v>-500000</v>
      </c>
      <c r="Z15" s="99">
        <f>-'Plan ventes'!Z6</f>
        <v>-600000</v>
      </c>
      <c r="AA15" s="99">
        <f>-'Plan ventes'!AA6</f>
        <v>-600000</v>
      </c>
      <c r="AB15" s="99">
        <f>-'Plan ventes'!AB6</f>
        <v>-600000</v>
      </c>
      <c r="AC15" s="99">
        <f>-'Plan ventes'!AC6</f>
        <v>-600000</v>
      </c>
      <c r="AD15" s="99">
        <f>-'Plan ventes'!AD6</f>
        <v>-600000</v>
      </c>
      <c r="AE15" s="99">
        <f>-'Plan ventes'!AE6</f>
        <v>-600000</v>
      </c>
      <c r="AF15" s="99">
        <f>-'Plan ventes'!AF6</f>
        <v>-600000</v>
      </c>
      <c r="AG15" s="99">
        <f>-'Plan ventes'!AG6</f>
        <v>-600000</v>
      </c>
      <c r="AH15" s="99">
        <f>-'Plan ventes'!AH6</f>
        <v>-600000</v>
      </c>
      <c r="AI15" s="99">
        <f>-'Plan ventes'!AI6</f>
        <v>-600000</v>
      </c>
      <c r="AJ15" s="99">
        <f>-'Plan ventes'!AJ6</f>
        <v>-600000</v>
      </c>
      <c r="AK15" s="99">
        <f>-'Plan ventes'!AK6</f>
        <v>-600000</v>
      </c>
    </row>
    <row r="16" spans="1:37" x14ac:dyDescent="0.2">
      <c r="A16" s="23" t="s">
        <v>397</v>
      </c>
      <c r="B16" s="26">
        <f t="shared" ref="B16:AK16" si="3">B12+B15</f>
        <v>575986.46</v>
      </c>
      <c r="C16" s="26">
        <f t="shared" si="3"/>
        <v>759856.39939999999</v>
      </c>
      <c r="D16" s="26">
        <f t="shared" si="3"/>
        <v>817214.95751599991</v>
      </c>
      <c r="E16" s="26">
        <f t="shared" si="3"/>
        <v>876972.93820319022</v>
      </c>
      <c r="F16" s="26">
        <f t="shared" si="3"/>
        <v>939261.28479935206</v>
      </c>
      <c r="G16" s="26">
        <f t="shared" si="3"/>
        <v>1004217.0979495132</v>
      </c>
      <c r="H16" s="26">
        <f t="shared" si="3"/>
        <v>1131107.4809846533</v>
      </c>
      <c r="I16" s="26">
        <f t="shared" si="3"/>
        <v>1203018.2363636745</v>
      </c>
      <c r="J16" s="26">
        <f t="shared" si="3"/>
        <v>1278071.6158473839</v>
      </c>
      <c r="K16" s="26">
        <f t="shared" si="3"/>
        <v>1356433.1657523818</v>
      </c>
      <c r="L16" s="26">
        <f t="shared" si="3"/>
        <v>1438276.3548818482</v>
      </c>
      <c r="M16" s="26">
        <f t="shared" si="3"/>
        <v>1523782.9792693814</v>
      </c>
      <c r="N16" s="26">
        <f t="shared" si="3"/>
        <v>1673530.6386007234</v>
      </c>
      <c r="O16" s="26">
        <f t="shared" si="3"/>
        <v>1764368.2942158617</v>
      </c>
      <c r="P16" s="26">
        <f t="shared" si="3"/>
        <v>1859216.0701977042</v>
      </c>
      <c r="Q16" s="26">
        <f t="shared" si="3"/>
        <v>1957905.2956916592</v>
      </c>
      <c r="R16" s="26">
        <f t="shared" si="3"/>
        <v>2060613.7333705435</v>
      </c>
      <c r="S16" s="26">
        <f t="shared" si="3"/>
        <v>2167526.7829057355</v>
      </c>
      <c r="T16" s="26">
        <f t="shared" si="3"/>
        <v>2278837.8289321586</v>
      </c>
      <c r="U16" s="26">
        <f t="shared" si="3"/>
        <v>2394748.6043166313</v>
      </c>
      <c r="V16" s="26">
        <f t="shared" si="3"/>
        <v>2515469.5694202716</v>
      </c>
      <c r="W16" s="26">
        <f t="shared" si="3"/>
        <v>2641220.3080762993</v>
      </c>
      <c r="X16" s="26">
        <f t="shared" si="3"/>
        <v>2772229.9410366607</v>
      </c>
      <c r="Y16" s="26">
        <f t="shared" si="3"/>
        <v>2908737.5576743386</v>
      </c>
      <c r="Z16" s="26">
        <f t="shared" si="3"/>
        <v>3221259.6860405351</v>
      </c>
      <c r="AA16" s="26">
        <f t="shared" si="3"/>
        <v>3349821.0189798381</v>
      </c>
      <c r="AB16" s="26">
        <f t="shared" si="3"/>
        <v>3500968.2440614072</v>
      </c>
      <c r="AC16" s="26">
        <f t="shared" si="3"/>
        <v>3656496.1630805666</v>
      </c>
      <c r="AD16" s="26">
        <f t="shared" si="3"/>
        <v>3816595.2511809524</v>
      </c>
      <c r="AE16" s="26">
        <f t="shared" si="3"/>
        <v>3981461.9564011404</v>
      </c>
      <c r="AF16" s="26">
        <f t="shared" si="3"/>
        <v>4151298.9464546405</v>
      </c>
      <c r="AG16" s="26">
        <f t="shared" si="3"/>
        <v>4326315.363672927</v>
      </c>
      <c r="AH16" s="26">
        <f t="shared" si="3"/>
        <v>4506727.0884364415</v>
      </c>
      <c r="AI16" s="26">
        <f t="shared" si="3"/>
        <v>4692757.0114297038</v>
      </c>
      <c r="AJ16" s="26">
        <f t="shared" si="3"/>
        <v>4884635.3150682477</v>
      </c>
      <c r="AK16" s="26">
        <f t="shared" si="3"/>
        <v>5082599.7644570349</v>
      </c>
    </row>
    <row r="18" spans="1:37" x14ac:dyDescent="0.2">
      <c r="A18" s="23" t="s">
        <v>398</v>
      </c>
      <c r="B18" s="24">
        <f>'P&amp;L'!B17-B15</f>
        <v>-2405583</v>
      </c>
      <c r="C18" s="24">
        <f>'P&amp;L'!C17-C15</f>
        <v>-2405583</v>
      </c>
      <c r="D18" s="24">
        <f>'P&amp;L'!D17-D15</f>
        <v>-2405583</v>
      </c>
      <c r="E18" s="24">
        <f>'P&amp;L'!E17-E15</f>
        <v>-2405583</v>
      </c>
      <c r="F18" s="24">
        <f>'P&amp;L'!F17-F15</f>
        <v>-2405583</v>
      </c>
      <c r="G18" s="24">
        <f>'P&amp;L'!G17-G15</f>
        <v>-2405583</v>
      </c>
      <c r="H18" s="24">
        <f>'P&amp;L'!H17-H15</f>
        <v>-2405583</v>
      </c>
      <c r="I18" s="24">
        <f>'P&amp;L'!I17-I15</f>
        <v>-2405583</v>
      </c>
      <c r="J18" s="24">
        <f>'P&amp;L'!J17-J15</f>
        <v>-2405583</v>
      </c>
      <c r="K18" s="24">
        <f>'P&amp;L'!K17-K15</f>
        <v>-2405583</v>
      </c>
      <c r="L18" s="24">
        <f>'P&amp;L'!L17-L15</f>
        <v>-2405583</v>
      </c>
      <c r="M18" s="24">
        <f>'P&amp;L'!M17-M15</f>
        <v>-2405583</v>
      </c>
      <c r="N18" s="24">
        <f>'P&amp;L'!N17-N15</f>
        <v>-2598029.64</v>
      </c>
      <c r="O18" s="24">
        <f>'P&amp;L'!O17-O15</f>
        <v>-2598029.64</v>
      </c>
      <c r="P18" s="24">
        <f>'P&amp;L'!P17-P15</f>
        <v>-2598029.64</v>
      </c>
      <c r="Q18" s="24">
        <f>'P&amp;L'!Q17-Q15</f>
        <v>-2598029.64</v>
      </c>
      <c r="R18" s="24">
        <f>'P&amp;L'!R17-R15</f>
        <v>-2598029.64</v>
      </c>
      <c r="S18" s="24">
        <f>'P&amp;L'!S17-S15</f>
        <v>-2598029.64</v>
      </c>
      <c r="T18" s="24">
        <f>'P&amp;L'!T17-T15</f>
        <v>-2598029.64</v>
      </c>
      <c r="U18" s="24">
        <f>'P&amp;L'!U17-U15</f>
        <v>-2598029.64</v>
      </c>
      <c r="V18" s="24">
        <f>'P&amp;L'!V17-V15</f>
        <v>-2598029.64</v>
      </c>
      <c r="W18" s="24">
        <f>'P&amp;L'!W17-W15</f>
        <v>-2598029.64</v>
      </c>
      <c r="X18" s="24">
        <f>'P&amp;L'!X17-X15</f>
        <v>-2598029.64</v>
      </c>
      <c r="Y18" s="24">
        <f>'P&amp;L'!Y17-Y15</f>
        <v>-2598029.64</v>
      </c>
      <c r="Z18" s="24">
        <f>'P&amp;L'!Z17-Z15</f>
        <v>-3356412.8112000003</v>
      </c>
      <c r="AA18" s="24">
        <f>'P&amp;L'!AA17-AA15</f>
        <v>-3356412.8112000003</v>
      </c>
      <c r="AB18" s="24">
        <f>'P&amp;L'!AB17-AB15</f>
        <v>-3356412.8112000003</v>
      </c>
      <c r="AC18" s="24">
        <f>'P&amp;L'!AC17-AC15</f>
        <v>-3356412.8112000003</v>
      </c>
      <c r="AD18" s="24">
        <f>'P&amp;L'!AD17-AD15</f>
        <v>-3356412.8112000003</v>
      </c>
      <c r="AE18" s="24">
        <f>'P&amp;L'!AE17-AE15</f>
        <v>-3356412.8112000003</v>
      </c>
      <c r="AF18" s="24">
        <f>'P&amp;L'!AF17-AF15</f>
        <v>-3356412.8112000003</v>
      </c>
      <c r="AG18" s="24">
        <f>'P&amp;L'!AG17-AG15</f>
        <v>-3356412.8112000003</v>
      </c>
      <c r="AH18" s="24">
        <f>'P&amp;L'!AH17-AH15</f>
        <v>-3356412.8112000003</v>
      </c>
      <c r="AI18" s="24">
        <f>'P&amp;L'!AI17-AI15</f>
        <v>-3356412.8112000003</v>
      </c>
      <c r="AJ18" s="24">
        <f>'P&amp;L'!AJ17-AJ15</f>
        <v>-3356412.8112000003</v>
      </c>
      <c r="AK18" s="24">
        <f>'P&amp;L'!AK17-AK15</f>
        <v>-3356412.8112000003</v>
      </c>
    </row>
    <row r="19" spans="1:37" ht="16" customHeight="1" x14ac:dyDescent="0.2">
      <c r="A19" s="25" t="s">
        <v>399</v>
      </c>
      <c r="B19" s="26">
        <f t="shared" ref="B19:AK19" si="4">B16+B18</f>
        <v>-1829596.54</v>
      </c>
      <c r="C19" s="26">
        <f t="shared" si="4"/>
        <v>-1645726.6006</v>
      </c>
      <c r="D19" s="26">
        <f t="shared" si="4"/>
        <v>-1588368.0424840001</v>
      </c>
      <c r="E19" s="26">
        <f t="shared" si="4"/>
        <v>-1528610.0617968098</v>
      </c>
      <c r="F19" s="26">
        <f t="shared" si="4"/>
        <v>-1466321.7152006479</v>
      </c>
      <c r="G19" s="26">
        <f t="shared" si="4"/>
        <v>-1401365.9020504868</v>
      </c>
      <c r="H19" s="26">
        <f t="shared" si="4"/>
        <v>-1274475.5190153467</v>
      </c>
      <c r="I19" s="26">
        <f t="shared" si="4"/>
        <v>-1202564.7636363255</v>
      </c>
      <c r="J19" s="26">
        <f t="shared" si="4"/>
        <v>-1127511.3841526161</v>
      </c>
      <c r="K19" s="26">
        <f t="shared" si="4"/>
        <v>-1049149.8342476182</v>
      </c>
      <c r="L19" s="26">
        <f t="shared" si="4"/>
        <v>-967306.64511815179</v>
      </c>
      <c r="M19" s="26">
        <f t="shared" si="4"/>
        <v>-881800.02073061862</v>
      </c>
      <c r="N19" s="26">
        <f t="shared" si="4"/>
        <v>-924499.00139927678</v>
      </c>
      <c r="O19" s="26">
        <f t="shared" si="4"/>
        <v>-833661.34578413842</v>
      </c>
      <c r="P19" s="26">
        <f t="shared" si="4"/>
        <v>-738813.56980229588</v>
      </c>
      <c r="Q19" s="26">
        <f t="shared" si="4"/>
        <v>-640124.34430834092</v>
      </c>
      <c r="R19" s="26">
        <f t="shared" si="4"/>
        <v>-537415.90662945667</v>
      </c>
      <c r="S19" s="26">
        <f t="shared" si="4"/>
        <v>-430502.85709426459</v>
      </c>
      <c r="T19" s="26">
        <f t="shared" si="4"/>
        <v>-319191.81106784148</v>
      </c>
      <c r="U19" s="26">
        <f t="shared" si="4"/>
        <v>-203281.0356833688</v>
      </c>
      <c r="V19" s="26">
        <f t="shared" si="4"/>
        <v>-82560.070579728577</v>
      </c>
      <c r="W19" s="26">
        <f t="shared" si="4"/>
        <v>43190.668076299131</v>
      </c>
      <c r="X19" s="26">
        <f t="shared" si="4"/>
        <v>174200.30103666056</v>
      </c>
      <c r="Y19" s="26">
        <f t="shared" si="4"/>
        <v>310707.91767433845</v>
      </c>
      <c r="Z19" s="26">
        <f t="shared" si="4"/>
        <v>-135153.12515946524</v>
      </c>
      <c r="AA19" s="26">
        <f t="shared" si="4"/>
        <v>-6591.7922201622277</v>
      </c>
      <c r="AB19" s="26">
        <f t="shared" si="4"/>
        <v>144555.43286140682</v>
      </c>
      <c r="AC19" s="26">
        <f t="shared" si="4"/>
        <v>300083.35188056622</v>
      </c>
      <c r="AD19" s="26">
        <f t="shared" si="4"/>
        <v>460182.43998095207</v>
      </c>
      <c r="AE19" s="26">
        <f t="shared" si="4"/>
        <v>625049.14520114008</v>
      </c>
      <c r="AF19" s="26">
        <f t="shared" si="4"/>
        <v>794886.13525464013</v>
      </c>
      <c r="AG19" s="26">
        <f t="shared" si="4"/>
        <v>969902.55247292668</v>
      </c>
      <c r="AH19" s="26">
        <f t="shared" si="4"/>
        <v>1150314.2772364412</v>
      </c>
      <c r="AI19" s="26">
        <f t="shared" si="4"/>
        <v>1336344.2002297034</v>
      </c>
      <c r="AJ19" s="26">
        <f t="shared" si="4"/>
        <v>1528222.5038682474</v>
      </c>
      <c r="AK19" s="26">
        <f t="shared" si="4"/>
        <v>1726186.9532570345</v>
      </c>
    </row>
    <row r="20" spans="1:37" ht="16" customHeight="1" x14ac:dyDescent="0.2">
      <c r="A20" s="25" t="s">
        <v>400</v>
      </c>
      <c r="B20" s="24">
        <f>B19-'P&amp;L'!B18</f>
        <v>0</v>
      </c>
      <c r="C20" s="24">
        <f>C19-'P&amp;L'!C18</f>
        <v>0</v>
      </c>
      <c r="D20" s="24">
        <f>D19-'P&amp;L'!D18</f>
        <v>0</v>
      </c>
      <c r="E20" s="24">
        <f>E19-'P&amp;L'!E18</f>
        <v>0</v>
      </c>
      <c r="F20" s="24">
        <f>F19-'P&amp;L'!F18</f>
        <v>0</v>
      </c>
      <c r="G20" s="24">
        <f>G19-'P&amp;L'!G18</f>
        <v>0</v>
      </c>
      <c r="H20" s="24">
        <f>H19-'P&amp;L'!H18</f>
        <v>0</v>
      </c>
      <c r="I20" s="24">
        <f>I19-'P&amp;L'!I18</f>
        <v>0</v>
      </c>
      <c r="J20" s="24">
        <f>J19-'P&amp;L'!J18</f>
        <v>0</v>
      </c>
      <c r="K20" s="24">
        <f>K19-'P&amp;L'!K18</f>
        <v>0</v>
      </c>
      <c r="L20" s="24">
        <f>L19-'P&amp;L'!L18</f>
        <v>0</v>
      </c>
      <c r="M20" s="24">
        <f>M19-'P&amp;L'!M18</f>
        <v>0</v>
      </c>
      <c r="N20" s="24">
        <f>N19-'P&amp;L'!N18</f>
        <v>0</v>
      </c>
      <c r="O20" s="24">
        <f>O19-'P&amp;L'!O18</f>
        <v>0</v>
      </c>
      <c r="P20" s="24">
        <f>P19-'P&amp;L'!P18</f>
        <v>0</v>
      </c>
      <c r="Q20" s="24">
        <f>Q19-'P&amp;L'!Q18</f>
        <v>0</v>
      </c>
      <c r="R20" s="24">
        <f>R19-'P&amp;L'!R18</f>
        <v>0</v>
      </c>
      <c r="S20" s="24">
        <f>S19-'P&amp;L'!S18</f>
        <v>0</v>
      </c>
      <c r="T20" s="24">
        <f>T19-'P&amp;L'!T18</f>
        <v>0</v>
      </c>
      <c r="U20" s="24">
        <f>U19-'P&amp;L'!U18</f>
        <v>0</v>
      </c>
      <c r="V20" s="24">
        <f>V19-'P&amp;L'!V18</f>
        <v>0</v>
      </c>
      <c r="W20" s="24">
        <f>W19-'P&amp;L'!W18</f>
        <v>0</v>
      </c>
      <c r="X20" s="24">
        <f>X19-'P&amp;L'!X18</f>
        <v>0</v>
      </c>
      <c r="Y20" s="24">
        <f>Y19-'P&amp;L'!Y18</f>
        <v>0</v>
      </c>
      <c r="Z20" s="24">
        <f>Z19-'P&amp;L'!Z18</f>
        <v>0</v>
      </c>
      <c r="AA20" s="24">
        <f>AA19-'P&amp;L'!AA18</f>
        <v>0</v>
      </c>
      <c r="AB20" s="24">
        <f>AB19-'P&amp;L'!AB18</f>
        <v>0</v>
      </c>
      <c r="AC20" s="24">
        <f>AC19-'P&amp;L'!AC18</f>
        <v>0</v>
      </c>
      <c r="AD20" s="24">
        <f>AD19-'P&amp;L'!AD18</f>
        <v>0</v>
      </c>
      <c r="AE20" s="24">
        <f>AE19-'P&amp;L'!AE18</f>
        <v>0</v>
      </c>
      <c r="AF20" s="24">
        <f>AF19-'P&amp;L'!AF18</f>
        <v>0</v>
      </c>
      <c r="AG20" s="24">
        <f>AG19-'P&amp;L'!AG18</f>
        <v>0</v>
      </c>
      <c r="AH20" s="24">
        <f>AH19-'P&amp;L'!AH18</f>
        <v>0</v>
      </c>
      <c r="AI20" s="24">
        <f>AI19-'P&amp;L'!AI18</f>
        <v>0</v>
      </c>
      <c r="AJ20" s="24">
        <f>AJ19-'P&amp;L'!AJ18</f>
        <v>0</v>
      </c>
      <c r="AK20" s="24">
        <f>AK19-'P&amp;L'!AK18</f>
        <v>0</v>
      </c>
    </row>
    <row r="22" spans="1:37" ht="36" customHeight="1" x14ac:dyDescent="0.2">
      <c r="A22" s="113" t="s">
        <v>401</v>
      </c>
      <c r="B22" s="112"/>
      <c r="C22" s="112"/>
      <c r="D22" s="112"/>
      <c r="E22" s="112"/>
      <c r="F22" s="112"/>
    </row>
  </sheetData>
  <mergeCells count="2">
    <mergeCell ref="A1:AK1"/>
    <mergeCell ref="A22:F22"/>
  </mergeCells>
  <conditionalFormatting sqref="B20:AK20">
    <cfRule type="expression" dxfId="1" priority="1">
      <formula>ABS(B20)&gt;1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37"/>
  <sheetViews>
    <sheetView showGridLines="0" zoomScaleNormal="100" workbookViewId="0">
      <pane xSplit="1" ySplit="3" topLeftCell="B12" activePane="bottomRight" state="frozen"/>
      <selection pane="topRight"/>
      <selection pane="bottomLeft" activeCell="A4" sqref="A4"/>
      <selection pane="bottomRight" activeCell="B36" sqref="B36"/>
    </sheetView>
  </sheetViews>
  <sheetFormatPr baseColWidth="10" defaultColWidth="8.83203125" defaultRowHeight="15" x14ac:dyDescent="0.2"/>
  <cols>
    <col min="1" max="1" width="66" customWidth="1"/>
    <col min="2" max="37" width="12" customWidth="1"/>
  </cols>
  <sheetData>
    <row r="1" spans="1:37" ht="22" customHeight="1" x14ac:dyDescent="0.25">
      <c r="A1" s="6" t="s">
        <v>402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 spans="1:37" ht="15" customHeight="1" x14ac:dyDescent="0.2">
      <c r="A2" s="13" t="s">
        <v>332</v>
      </c>
      <c r="B2" s="16">
        <f>'Plan ventes'!B2</f>
        <v>1</v>
      </c>
      <c r="C2" s="16">
        <f>'Plan ventes'!C2</f>
        <v>1</v>
      </c>
      <c r="D2" s="16">
        <f>'Plan ventes'!D2</f>
        <v>1</v>
      </c>
      <c r="E2" s="16">
        <f>'Plan ventes'!E2</f>
        <v>1</v>
      </c>
      <c r="F2" s="16">
        <f>'Plan ventes'!F2</f>
        <v>1</v>
      </c>
      <c r="G2" s="16">
        <f>'Plan ventes'!G2</f>
        <v>1</v>
      </c>
      <c r="H2" s="16">
        <f>'Plan ventes'!H2</f>
        <v>1</v>
      </c>
      <c r="I2" s="16">
        <f>'Plan ventes'!I2</f>
        <v>1</v>
      </c>
      <c r="J2" s="16">
        <f>'Plan ventes'!J2</f>
        <v>1</v>
      </c>
      <c r="K2" s="16">
        <f>'Plan ventes'!K2</f>
        <v>1</v>
      </c>
      <c r="L2" s="16">
        <f>'Plan ventes'!L2</f>
        <v>1</v>
      </c>
      <c r="M2" s="16">
        <f>'Plan ventes'!M2</f>
        <v>1</v>
      </c>
      <c r="N2" s="16">
        <f>'Plan ventes'!N2</f>
        <v>2</v>
      </c>
      <c r="O2" s="16">
        <f>'Plan ventes'!O2</f>
        <v>2</v>
      </c>
      <c r="P2" s="16">
        <f>'Plan ventes'!P2</f>
        <v>2</v>
      </c>
      <c r="Q2" s="16">
        <f>'Plan ventes'!Q2</f>
        <v>2</v>
      </c>
      <c r="R2" s="16">
        <f>'Plan ventes'!R2</f>
        <v>2</v>
      </c>
      <c r="S2" s="16">
        <f>'Plan ventes'!S2</f>
        <v>2</v>
      </c>
      <c r="T2" s="16">
        <f>'Plan ventes'!T2</f>
        <v>2</v>
      </c>
      <c r="U2" s="16">
        <f>'Plan ventes'!U2</f>
        <v>2</v>
      </c>
      <c r="V2" s="16">
        <f>'Plan ventes'!V2</f>
        <v>2</v>
      </c>
      <c r="W2" s="16">
        <f>'Plan ventes'!W2</f>
        <v>2</v>
      </c>
      <c r="X2" s="16">
        <f>'Plan ventes'!X2</f>
        <v>2</v>
      </c>
      <c r="Y2" s="16">
        <f>'Plan ventes'!Y2</f>
        <v>2</v>
      </c>
      <c r="Z2" s="16">
        <f>'Plan ventes'!Z2</f>
        <v>3</v>
      </c>
      <c r="AA2" s="16">
        <f>'Plan ventes'!AA2</f>
        <v>3</v>
      </c>
      <c r="AB2" s="16">
        <f>'Plan ventes'!AB2</f>
        <v>3</v>
      </c>
      <c r="AC2" s="16">
        <f>'Plan ventes'!AC2</f>
        <v>3</v>
      </c>
      <c r="AD2" s="16">
        <f>'Plan ventes'!AD2</f>
        <v>3</v>
      </c>
      <c r="AE2" s="16">
        <f>'Plan ventes'!AE2</f>
        <v>3</v>
      </c>
      <c r="AF2" s="16">
        <f>'Plan ventes'!AF2</f>
        <v>3</v>
      </c>
      <c r="AG2" s="16">
        <f>'Plan ventes'!AG2</f>
        <v>3</v>
      </c>
      <c r="AH2" s="16">
        <f>'Plan ventes'!AH2</f>
        <v>3</v>
      </c>
      <c r="AI2" s="16">
        <f>'Plan ventes'!AI2</f>
        <v>3</v>
      </c>
      <c r="AJ2" s="16">
        <f>'Plan ventes'!AJ2</f>
        <v>3</v>
      </c>
      <c r="AK2" s="16">
        <f>'Plan ventes'!AK2</f>
        <v>3</v>
      </c>
    </row>
    <row r="3" spans="1:37" ht="15" customHeight="1" x14ac:dyDescent="0.2">
      <c r="A3" s="13" t="s">
        <v>333</v>
      </c>
      <c r="B3" s="16">
        <f>'Plan ventes'!B3</f>
        <v>1</v>
      </c>
      <c r="C3" s="16">
        <f>'Plan ventes'!C3</f>
        <v>2</v>
      </c>
      <c r="D3" s="16">
        <f>'Plan ventes'!D3</f>
        <v>3</v>
      </c>
      <c r="E3" s="16">
        <f>'Plan ventes'!E3</f>
        <v>4</v>
      </c>
      <c r="F3" s="16">
        <f>'Plan ventes'!F3</f>
        <v>5</v>
      </c>
      <c r="G3" s="16">
        <f>'Plan ventes'!G3</f>
        <v>6</v>
      </c>
      <c r="H3" s="16">
        <f>'Plan ventes'!H3</f>
        <v>7</v>
      </c>
      <c r="I3" s="16">
        <f>'Plan ventes'!I3</f>
        <v>8</v>
      </c>
      <c r="J3" s="16">
        <f>'Plan ventes'!J3</f>
        <v>9</v>
      </c>
      <c r="K3" s="16">
        <f>'Plan ventes'!K3</f>
        <v>10</v>
      </c>
      <c r="L3" s="16">
        <f>'Plan ventes'!L3</f>
        <v>11</v>
      </c>
      <c r="M3" s="16">
        <f>'Plan ventes'!M3</f>
        <v>12</v>
      </c>
      <c r="N3" s="16">
        <f>'Plan ventes'!N3</f>
        <v>13</v>
      </c>
      <c r="O3" s="16">
        <f>'Plan ventes'!O3</f>
        <v>14</v>
      </c>
      <c r="P3" s="16">
        <f>'Plan ventes'!P3</f>
        <v>15</v>
      </c>
      <c r="Q3" s="16">
        <f>'Plan ventes'!Q3</f>
        <v>16</v>
      </c>
      <c r="R3" s="16">
        <f>'Plan ventes'!R3</f>
        <v>17</v>
      </c>
      <c r="S3" s="16">
        <f>'Plan ventes'!S3</f>
        <v>18</v>
      </c>
      <c r="T3" s="16">
        <f>'Plan ventes'!T3</f>
        <v>19</v>
      </c>
      <c r="U3" s="16">
        <f>'Plan ventes'!U3</f>
        <v>20</v>
      </c>
      <c r="V3" s="16">
        <f>'Plan ventes'!V3</f>
        <v>21</v>
      </c>
      <c r="W3" s="16">
        <f>'Plan ventes'!W3</f>
        <v>22</v>
      </c>
      <c r="X3" s="16">
        <f>'Plan ventes'!X3</f>
        <v>23</v>
      </c>
      <c r="Y3" s="16">
        <f>'Plan ventes'!Y3</f>
        <v>24</v>
      </c>
      <c r="Z3" s="16">
        <f>'Plan ventes'!Z3</f>
        <v>25</v>
      </c>
      <c r="AA3" s="16">
        <f>'Plan ventes'!AA3</f>
        <v>26</v>
      </c>
      <c r="AB3" s="16">
        <f>'Plan ventes'!AB3</f>
        <v>27</v>
      </c>
      <c r="AC3" s="16">
        <f>'Plan ventes'!AC3</f>
        <v>28</v>
      </c>
      <c r="AD3" s="16">
        <f>'Plan ventes'!AD3</f>
        <v>29</v>
      </c>
      <c r="AE3" s="16">
        <f>'Plan ventes'!AE3</f>
        <v>30</v>
      </c>
      <c r="AF3" s="16">
        <f>'Plan ventes'!AF3</f>
        <v>31</v>
      </c>
      <c r="AG3" s="16">
        <f>'Plan ventes'!AG3</f>
        <v>32</v>
      </c>
      <c r="AH3" s="16">
        <f>'Plan ventes'!AH3</f>
        <v>33</v>
      </c>
      <c r="AI3" s="16">
        <f>'Plan ventes'!AI3</f>
        <v>34</v>
      </c>
      <c r="AJ3" s="16">
        <f>'Plan ventes'!AJ3</f>
        <v>35</v>
      </c>
      <c r="AK3" s="16">
        <f>'Plan ventes'!AK3</f>
        <v>36</v>
      </c>
    </row>
    <row r="5" spans="1:37" ht="15" customHeight="1" x14ac:dyDescent="0.2">
      <c r="A5" s="17" t="s">
        <v>403</v>
      </c>
      <c r="B5" s="100">
        <f>'Plan ventes'!B63-IF(Parametres!$B$158=1,Parametres!$B$164*'Plan ventes'!B60,0)</f>
        <v>1394700</v>
      </c>
      <c r="C5" s="100">
        <f>'Plan ventes'!C63-IF(Parametres!$B$158=1,Parametres!$B$164*'Plan ventes'!C60,0)</f>
        <v>1455388.425</v>
      </c>
      <c r="D5" s="100">
        <f>'Plan ventes'!D63-IF(Parametres!$B$158=1,Parametres!$B$164*'Plan ventes'!D60,0)</f>
        <v>1518457.15215</v>
      </c>
      <c r="E5" s="100">
        <f>'Plan ventes'!E63-IF(Parametres!$B$158=1,Parametres!$B$164*'Plan ventes'!E60,0)</f>
        <v>1584033.8286087003</v>
      </c>
      <c r="F5" s="100">
        <f>'Plan ventes'!F63-IF(Parametres!$B$158=1,Parametres!$B$164*'Plan ventes'!F60,0)</f>
        <v>1652252.0104707067</v>
      </c>
      <c r="G5" s="100">
        <f>'Plan ventes'!G63-IF(Parametres!$B$158=1,Parametres!$B$164*'Plan ventes'!G60,0)</f>
        <v>1723251.4682179105</v>
      </c>
      <c r="H5" s="100">
        <f>'Plan ventes'!H63-IF(Parametres!$B$158=1,Parametres!$B$164*'Plan ventes'!H60,0)</f>
        <v>1856302.0340722492</v>
      </c>
      <c r="I5" s="100">
        <f>'Plan ventes'!I63-IF(Parametres!$B$158=1,Parametres!$B$164*'Plan ventes'!I60,0)</f>
        <v>1934492.3004762842</v>
      </c>
      <c r="J5" s="100">
        <f>'Plan ventes'!J63-IF(Parametres!$B$158=1,Parametres!$B$164*'Plan ventes'!J60,0)</f>
        <v>2015947.3723734012</v>
      </c>
      <c r="K5" s="100">
        <f>'Plan ventes'!K63-IF(Parametres!$B$158=1,Parametres!$B$164*'Plan ventes'!K60,0)</f>
        <v>2100835.7146387212</v>
      </c>
      <c r="L5" s="100">
        <f>'Plan ventes'!L63-IF(Parametres!$B$158=1,Parametres!$B$164*'Plan ventes'!L60,0)</f>
        <v>2189333.7822610531</v>
      </c>
      <c r="M5" s="100">
        <f>'Plan ventes'!M63-IF(Parametres!$B$158=1,Parametres!$B$164*'Plan ventes'!M60,0)</f>
        <v>2281626.4274155251</v>
      </c>
      <c r="N5" s="100">
        <f>'Plan ventes'!N63-IF(Parametres!$B$158=1,Parametres!$B$164*'Plan ventes'!N60,0)</f>
        <v>2550347.5759644657</v>
      </c>
      <c r="O5" s="100">
        <f>'Plan ventes'!O63-IF(Parametres!$B$158=1,Parametres!$B$164*'Plan ventes'!O60,0)</f>
        <v>2649509.1128086625</v>
      </c>
      <c r="P5" s="100">
        <f>'Plan ventes'!P63-IF(Parametres!$B$158=1,Parametres!$B$164*'Plan ventes'!P60,0)</f>
        <v>2752514.0529363444</v>
      </c>
      <c r="Q5" s="100">
        <f>'Plan ventes'!Q63-IF(Parametres!$B$158=1,Parametres!$B$164*'Plan ventes'!Q60,0)</f>
        <v>2859537.0597735019</v>
      </c>
      <c r="R5" s="100">
        <f>'Plan ventes'!R63-IF(Parametres!$B$158=1,Parametres!$B$164*'Plan ventes'!R60,0)</f>
        <v>2970760.1980828652</v>
      </c>
      <c r="S5" s="100">
        <f>'Plan ventes'!S63-IF(Parametres!$B$158=1,Parametres!$B$164*'Plan ventes'!S60,0)</f>
        <v>3086373.2700976366</v>
      </c>
      <c r="T5" s="100">
        <f>'Plan ventes'!T63-IF(Parametres!$B$158=1,Parametres!$B$164*'Plan ventes'!T60,0)</f>
        <v>3206574.166375909</v>
      </c>
      <c r="U5" s="100">
        <f>'Plan ventes'!U63-IF(Parametres!$B$158=1,Parametres!$B$164*'Plan ventes'!U60,0)</f>
        <v>3331569.2320399843</v>
      </c>
      <c r="V5" s="100">
        <f>'Plan ventes'!V63-IF(Parametres!$B$158=1,Parametres!$B$164*'Plan ventes'!V60,0)</f>
        <v>3461573.6490942491</v>
      </c>
      <c r="W5" s="100">
        <f>'Plan ventes'!W63-IF(Parametres!$B$158=1,Parametres!$B$164*'Plan ventes'!W60,0)</f>
        <v>3596811.8355460106</v>
      </c>
      <c r="X5" s="100">
        <f>'Plan ventes'!X63-IF(Parametres!$B$158=1,Parametres!$B$164*'Plan ventes'!X60,0)</f>
        <v>3737517.8620859114</v>
      </c>
      <c r="Y5" s="100">
        <f>'Plan ventes'!Y63-IF(Parametres!$B$158=1,Parametres!$B$164*'Plan ventes'!Y60,0)</f>
        <v>3883935.8871180704</v>
      </c>
      <c r="Z5" s="100">
        <f>'Plan ventes'!Z63-IF(Parametres!$B$158=1,Parametres!$B$164*'Plan ventes'!Z60,0)</f>
        <v>4323137.5828078501</v>
      </c>
      <c r="AA5" s="100">
        <f>'Plan ventes'!AA63-IF(Parametres!$B$158=1,Parametres!$B$164*'Plan ventes'!AA60,0)</f>
        <v>4482164.7560903095</v>
      </c>
      <c r="AB5" s="100">
        <f>'Plan ventes'!AB63-IF(Parametres!$B$158=1,Parametres!$B$164*'Plan ventes'!AB60,0)</f>
        <v>4645654.4033664605</v>
      </c>
      <c r="AC5" s="100">
        <f>'Plan ventes'!AC63-IF(Parametres!$B$158=1,Parametres!$B$164*'Plan ventes'!AC60,0)</f>
        <v>4813798.6996990116</v>
      </c>
      <c r="AD5" s="100">
        <f>'Plan ventes'!AD63-IF(Parametres!$B$158=1,Parametres!$B$164*'Plan ventes'!AD60,0)</f>
        <v>4986795.7152400799</v>
      </c>
      <c r="AE5" s="100">
        <f>'Plan ventes'!AE63-IF(Parametres!$B$158=1,Parametres!$B$164*'Plan ventes'!AE60,0)</f>
        <v>5164849.6590295993</v>
      </c>
      <c r="AF5" s="100">
        <f>'Plan ventes'!AF63-IF(Parametres!$B$158=1,Parametres!$B$164*'Plan ventes'!AF60,0)</f>
        <v>5348171.1307455627</v>
      </c>
      <c r="AG5" s="100">
        <f>'Plan ventes'!AG63-IF(Parametres!$B$158=1,Parametres!$B$164*'Plan ventes'!AG60,0)</f>
        <v>5536977.3807238294</v>
      </c>
      <c r="AH5" s="100">
        <f>'Plan ventes'!AH63-IF(Parametres!$B$158=1,Parametres!$B$164*'Plan ventes'!AH60,0)</f>
        <v>5731492.5785759585</v>
      </c>
      <c r="AI5" s="100">
        <f>'Plan ventes'!AI63-IF(Parametres!$B$158=1,Parametres!$B$164*'Plan ventes'!AI60,0)</f>
        <v>5931948.0907447897</v>
      </c>
      <c r="AJ5" s="100">
        <f>'Plan ventes'!AJ63-IF(Parametres!$B$158=1,Parametres!$B$164*'Plan ventes'!AJ60,0)</f>
        <v>6138582.76734915</v>
      </c>
      <c r="AK5" s="100">
        <f>'Plan ventes'!AK63-IF(Parametres!$B$158=1,Parametres!$B$164*'Plan ventes'!AK60,0)</f>
        <v>6351643.2386810975</v>
      </c>
    </row>
    <row r="6" spans="1:37" ht="15" customHeight="1" x14ac:dyDescent="0.2">
      <c r="A6" s="11" t="s">
        <v>404</v>
      </c>
      <c r="B6" s="101">
        <f>'Plan ventes'!B61</f>
        <v>1020000</v>
      </c>
      <c r="C6" s="101">
        <f>'Plan ventes'!C61</f>
        <v>1073400</v>
      </c>
      <c r="D6" s="101">
        <f>'Plan ventes'!D61</f>
        <v>1129038</v>
      </c>
      <c r="E6" s="101">
        <f>'Plan ventes'!E61</f>
        <v>1187038.8600000003</v>
      </c>
      <c r="F6" s="101">
        <f>'Plan ventes'!F61</f>
        <v>1247533.2942000001</v>
      </c>
      <c r="G6" s="101">
        <f>'Plan ventes'!G61</f>
        <v>1310658.1753740003</v>
      </c>
      <c r="H6" s="101">
        <f>'Plan ventes'!H61</f>
        <v>1376556.8541127804</v>
      </c>
      <c r="I6" s="101">
        <f>'Plan ventes'!I61</f>
        <v>1445379.4936893969</v>
      </c>
      <c r="J6" s="101">
        <f>'Plan ventes'!J61</f>
        <v>1517283.4213387151</v>
      </c>
      <c r="K6" s="101">
        <f>'Plan ventes'!K61</f>
        <v>1592433.4967815536</v>
      </c>
      <c r="L6" s="101">
        <f>'Plan ventes'!L61</f>
        <v>1671002.4988652573</v>
      </c>
      <c r="M6" s="101">
        <f>'Plan ventes'!M61</f>
        <v>1753171.5312358073</v>
      </c>
      <c r="N6" s="101">
        <f>'Plan ventes'!N61</f>
        <v>1968528.0853772813</v>
      </c>
      <c r="O6" s="101">
        <f>'Plan ventes'!O61</f>
        <v>2055050.199048385</v>
      </c>
      <c r="P6" s="101">
        <f>'Plan ventes'!P61</f>
        <v>2145139.3401407185</v>
      </c>
      <c r="Q6" s="101">
        <f>'Plan ventes'!Q61</f>
        <v>2238964.1017441107</v>
      </c>
      <c r="R6" s="101">
        <f>'Plan ventes'!R61</f>
        <v>2336700.3445373555</v>
      </c>
      <c r="S6" s="101">
        <f>'Plan ventes'!S61</f>
        <v>2438531.5299683735</v>
      </c>
      <c r="T6" s="101">
        <f>'Plan ventes'!T61</f>
        <v>2544649.0680897236</v>
      </c>
      <c r="U6" s="101">
        <f>'Plan ventes'!U61</f>
        <v>2655252.6807122282</v>
      </c>
      <c r="V6" s="101">
        <f>'Plan ventes'!V61</f>
        <v>2770550.7805688954</v>
      </c>
      <c r="W6" s="101">
        <f>'Plan ventes'!W61</f>
        <v>2890760.8672120287</v>
      </c>
      <c r="X6" s="101">
        <f>'Plan ventes'!X61</f>
        <v>3016109.940398592</v>
      </c>
      <c r="Y6" s="101">
        <f>'Plan ventes'!Y61</f>
        <v>3146834.9317524019</v>
      </c>
      <c r="Z6" s="101">
        <f>'Plan ventes'!Z61</f>
        <v>3509805.2914821743</v>
      </c>
      <c r="AA6" s="101">
        <f>'Plan ventes'!AA61</f>
        <v>3649221.0168198212</v>
      </c>
      <c r="AB6" s="101">
        <f>'Plan ventes'!AB61</f>
        <v>3792622.6452298276</v>
      </c>
      <c r="AC6" s="101">
        <f>'Plan ventes'!AC61</f>
        <v>3940190.7248755335</v>
      </c>
      <c r="AD6" s="101">
        <f>'Plan ventes'!AD61</f>
        <v>4092111.4147814028</v>
      </c>
      <c r="AE6" s="101">
        <f>'Plan ventes'!AE61</f>
        <v>4248576.7216762844</v>
      </c>
      <c r="AF6" s="101">
        <f>'Plan ventes'!AF61</f>
        <v>4409784.7446182379</v>
      </c>
      <c r="AG6" s="101">
        <f>'Plan ventes'!AG61</f>
        <v>4575939.9277144568</v>
      </c>
      <c r="AH6" s="101">
        <f>'Plan ventes'!AH61</f>
        <v>4747253.3212605165</v>
      </c>
      <c r="AI6" s="101">
        <f>'Plan ventes'!AI61</f>
        <v>4923942.8516342547</v>
      </c>
      <c r="AJ6" s="101">
        <f>'Plan ventes'!AJ61</f>
        <v>5106233.6002912028</v>
      </c>
      <c r="AK6" s="101">
        <f>'Plan ventes'!AK61</f>
        <v>5294358.0922203781</v>
      </c>
    </row>
    <row r="7" spans="1:37" ht="15" customHeight="1" x14ac:dyDescent="0.2">
      <c r="A7" s="11" t="s">
        <v>405</v>
      </c>
      <c r="B7" s="101">
        <f>-(('Plan ventes'!B17+'Plan ventes'!B23+'Plan ventes'!B43+'Plan ventes'!B56)*Parametres!$D$105+('Plan ventes'!B19+'Plan ventes'!B52)*Parametres!$D$104*(1+Parametres!$D$46)^(B$2-1)+('Plan ventes'!B64)*Parametres!$D$106+'Plan ventes'!B66*Parametres!$D$107+'Plan ventes'!B60*Parametres!$D$108)</f>
        <v>-418713.54</v>
      </c>
      <c r="C7" s="101">
        <f>-(('Plan ventes'!C17+'Plan ventes'!C23+'Plan ventes'!C43+'Plan ventes'!C56)*Parametres!$D$105+('Plan ventes'!C19+'Plan ventes'!C52)*Parametres!$D$104*(1+Parametres!$D$46)^(C$2-1)+('Plan ventes'!C64)*Parametres!$D$106+'Plan ventes'!C66*Parametres!$D$107+'Plan ventes'!C60*Parametres!$D$108)</f>
        <v>-295532.02559999999</v>
      </c>
      <c r="D7" s="101">
        <f>-(('Plan ventes'!D17+'Plan ventes'!D23+'Plan ventes'!D43+'Plan ventes'!D56)*Parametres!$D$105+('Plan ventes'!D19+'Plan ventes'!D52)*Parametres!$D$104*(1+Parametres!$D$46)^(D$2-1)+('Plan ventes'!D64)*Parametres!$D$106+'Plan ventes'!D66*Parametres!$D$107+'Plan ventes'!D60*Parametres!$D$108)</f>
        <v>-301242.19463400001</v>
      </c>
      <c r="E7" s="101">
        <f>-(('Plan ventes'!E17+'Plan ventes'!E23+'Plan ventes'!E43+'Plan ventes'!E56)*Parametres!$D$105+('Plan ventes'!E19+'Plan ventes'!E52)*Parametres!$D$104*(1+Parametres!$D$46)^(E$2-1)+('Plan ventes'!E64)*Parametres!$D$106+'Plan ventes'!E66*Parametres!$D$107+'Plan ventes'!E60*Parametres!$D$108)</f>
        <v>-307060.89040551003</v>
      </c>
      <c r="F7" s="101">
        <f>-(('Plan ventes'!F17+'Plan ventes'!F23+'Plan ventes'!F43+'Plan ventes'!F56)*Parametres!$D$105+('Plan ventes'!F19+'Plan ventes'!F52)*Parametres!$D$104*(1+Parametres!$D$46)^(F$2-1)+('Plan ventes'!F64)*Parametres!$D$106+'Plan ventes'!F66*Parametres!$D$107+'Plan ventes'!F60*Parametres!$D$108)</f>
        <v>-312990.72567135468</v>
      </c>
      <c r="G7" s="101">
        <f>-(('Plan ventes'!G17+'Plan ventes'!G23+'Plan ventes'!G43+'Plan ventes'!G56)*Parametres!$D$105+('Plan ventes'!G19+'Plan ventes'!G52)*Parametres!$D$104*(1+Parametres!$D$46)^(G$2-1)+('Plan ventes'!G64)*Parametres!$D$106+'Plan ventes'!G66*Parametres!$D$107+'Plan ventes'!G60*Parametres!$D$108)</f>
        <v>-319034.37026839732</v>
      </c>
      <c r="H7" s="101">
        <f>-(('Plan ventes'!H17+'Plan ventes'!H23+'Plan ventes'!H43+'Plan ventes'!H56)*Parametres!$D$105+('Plan ventes'!H19+'Plan ventes'!H52)*Parametres!$D$104*(1+Parametres!$D$46)^(H$2-1)+('Plan ventes'!H64)*Parametres!$D$106+'Plan ventes'!H66*Parametres!$D$107+'Plan ventes'!H60*Parametres!$D$108)</f>
        <v>-325194.55308759579</v>
      </c>
      <c r="I7" s="101">
        <f>-(('Plan ventes'!I17+'Plan ventes'!I23+'Plan ventes'!I43+'Plan ventes'!I56)*Parametres!$D$105+('Plan ventes'!I19+'Plan ventes'!I52)*Parametres!$D$104*(1+Parametres!$D$46)^(I$2-1)+('Plan ventes'!I64)*Parametres!$D$106+'Plan ventes'!I66*Parametres!$D$107+'Plan ventes'!I60*Parametres!$D$108)</f>
        <v>-331474.06411260966</v>
      </c>
      <c r="J7" s="101">
        <f>-(('Plan ventes'!J17+'Plan ventes'!J23+'Plan ventes'!J43+'Plan ventes'!J56)*Parametres!$D$105+('Plan ventes'!J19+'Plan ventes'!J52)*Parametres!$D$104*(1+Parametres!$D$46)^(J$2-1)+('Plan ventes'!J64)*Parametres!$D$106+'Plan ventes'!J66*Parametres!$D$107+'Plan ventes'!J60*Parametres!$D$108)</f>
        <v>-337875.75652601727</v>
      </c>
      <c r="K7" s="101">
        <f>-(('Plan ventes'!K17+'Plan ventes'!K23+'Plan ventes'!K43+'Plan ventes'!K56)*Parametres!$D$105+('Plan ventes'!K19+'Plan ventes'!K52)*Parametres!$D$104*(1+Parametres!$D$46)^(K$2-1)+('Plan ventes'!K64)*Parametres!$D$106+'Plan ventes'!K66*Parametres!$D$107+'Plan ventes'!K60*Parametres!$D$108)</f>
        <v>-344402.54888633941</v>
      </c>
      <c r="L7" s="101">
        <f>-(('Plan ventes'!L17+'Plan ventes'!L23+'Plan ventes'!L43+'Plan ventes'!L56)*Parametres!$D$105+('Plan ventes'!L19+'Plan ventes'!L52)*Parametres!$D$104*(1+Parametres!$D$46)^(L$2-1)+('Plan ventes'!L64)*Parametres!$D$106+'Plan ventes'!L66*Parametres!$D$107+'Plan ventes'!L60*Parametres!$D$108)</f>
        <v>-351057.42737920478</v>
      </c>
      <c r="M7" s="101">
        <f>-(('Plan ventes'!M17+'Plan ventes'!M23+'Plan ventes'!M43+'Plan ventes'!M56)*Parametres!$D$105+('Plan ventes'!M19+'Plan ventes'!M52)*Parametres!$D$104*(1+Parametres!$D$46)^(M$2-1)+('Plan ventes'!M64)*Parametres!$D$106+'Plan ventes'!M66*Parametres!$D$107+'Plan ventes'!M60*Parametres!$D$108)</f>
        <v>-357843.44814614375</v>
      </c>
      <c r="N7" s="101">
        <f>-(('Plan ventes'!N17+'Plan ventes'!N23+'Plan ventes'!N43+'Plan ventes'!N56)*Parametres!$D$105+('Plan ventes'!N19+'Plan ventes'!N52)*Parametres!$D$104*(1+Parametres!$D$46)^(N$2-1)+('Plan ventes'!N64)*Parametres!$D$106+'Plan ventes'!N66*Parametres!$D$107+'Plan ventes'!N60*Parametres!$D$108)</f>
        <v>-376816.93736374227</v>
      </c>
      <c r="O7" s="101">
        <f>-(('Plan ventes'!O17+'Plan ventes'!O23+'Plan ventes'!O43+'Plan ventes'!O56)*Parametres!$D$105+('Plan ventes'!O19+'Plan ventes'!O52)*Parametres!$D$104*(1+Parametres!$D$46)^(O$2-1)+('Plan ventes'!O64)*Parametres!$D$106+'Plan ventes'!O66*Parametres!$D$107+'Plan ventes'!O60*Parametres!$D$108)</f>
        <v>-385140.81859280053</v>
      </c>
      <c r="P7" s="101">
        <f>-(('Plan ventes'!P17+'Plan ventes'!P23+'Plan ventes'!P43+'Plan ventes'!P56)*Parametres!$D$105+('Plan ventes'!P19+'Plan ventes'!P52)*Parametres!$D$104*(1+Parametres!$D$46)^(P$2-1)+('Plan ventes'!P64)*Parametres!$D$106+'Plan ventes'!P66*Parametres!$D$107+'Plan ventes'!P60*Parametres!$D$108)</f>
        <v>-393297.98273864028</v>
      </c>
      <c r="Q7" s="101">
        <f>-(('Plan ventes'!Q17+'Plan ventes'!Q23+'Plan ventes'!Q43+'Plan ventes'!Q56)*Parametres!$D$105+('Plan ventes'!Q19+'Plan ventes'!Q52)*Parametres!$D$104*(1+Parametres!$D$46)^(Q$2-1)+('Plan ventes'!Q64)*Parametres!$D$106+'Plan ventes'!Q66*Parametres!$D$107+'Plan ventes'!Q60*Parametres!$D$108)</f>
        <v>-401631.76408184291</v>
      </c>
      <c r="R7" s="101">
        <f>-(('Plan ventes'!R17+'Plan ventes'!R23+'Plan ventes'!R43+'Plan ventes'!R56)*Parametres!$D$105+('Plan ventes'!R19+'Plan ventes'!R52)*Parametres!$D$104*(1+Parametres!$D$46)^(R$2-1)+('Plan ventes'!R64)*Parametres!$D$106+'Plan ventes'!R66*Parametres!$D$107+'Plan ventes'!R60*Parametres!$D$108)</f>
        <v>-410146.46471232187</v>
      </c>
      <c r="S7" s="101">
        <f>-(('Plan ventes'!S17+'Plan ventes'!S23+'Plan ventes'!S43+'Plan ventes'!S56)*Parametres!$D$105+('Plan ventes'!S19+'Plan ventes'!S52)*Parametres!$D$104*(1+Parametres!$D$46)^(S$2-1)+('Plan ventes'!S64)*Parametres!$D$106+'Plan ventes'!S66*Parametres!$D$107+'Plan ventes'!S60*Parametres!$D$108)</f>
        <v>-418846.48719190119</v>
      </c>
      <c r="T7" s="101">
        <f>-(('Plan ventes'!T17+'Plan ventes'!T23+'Plan ventes'!T43+'Plan ventes'!T56)*Parametres!$D$105+('Plan ventes'!T19+'Plan ventes'!T52)*Parametres!$D$104*(1+Parametres!$D$46)^(T$2-1)+('Plan ventes'!T64)*Parametres!$D$106+'Plan ventes'!T66*Parametres!$D$107+'Plan ventes'!T60*Parametres!$D$108)</f>
        <v>-427736.33744375018</v>
      </c>
      <c r="U7" s="101">
        <f>-(('Plan ventes'!U17+'Plan ventes'!U23+'Plan ventes'!U43+'Plan ventes'!U56)*Parametres!$D$105+('Plan ventes'!U19+'Plan ventes'!U52)*Parametres!$D$104*(1+Parametres!$D$46)^(U$2-1)+('Plan ventes'!U64)*Parametres!$D$106+'Plan ventes'!U66*Parametres!$D$107+'Plan ventes'!U60*Parametres!$D$108)</f>
        <v>-436820.62772335304</v>
      </c>
      <c r="V7" s="101">
        <f>-(('Plan ventes'!V17+'Plan ventes'!V23+'Plan ventes'!V43+'Plan ventes'!V56)*Parametres!$D$105+('Plan ventes'!V19+'Plan ventes'!V52)*Parametres!$D$104*(1+Parametres!$D$46)^(V$2-1)+('Plan ventes'!V64)*Parametres!$D$106+'Plan ventes'!V66*Parametres!$D$107+'Plan ventes'!V60*Parametres!$D$108)</f>
        <v>-446104.07967397739</v>
      </c>
      <c r="W7" s="101">
        <f>-(('Plan ventes'!W17+'Plan ventes'!W23+'Plan ventes'!W43+'Plan ventes'!W56)*Parametres!$D$105+('Plan ventes'!W19+'Plan ventes'!W52)*Parametres!$D$104*(1+Parametres!$D$46)^(W$2-1)+('Plan ventes'!W64)*Parametres!$D$106+'Plan ventes'!W66*Parametres!$D$107+'Plan ventes'!W60*Parametres!$D$108)</f>
        <v>-455591.52746971138</v>
      </c>
      <c r="X7" s="101">
        <f>-(('Plan ventes'!X17+'Plan ventes'!X23+'Plan ventes'!X43+'Plan ventes'!X56)*Parametres!$D$105+('Plan ventes'!X19+'Plan ventes'!X52)*Parametres!$D$104*(1+Parametres!$D$46)^(X$2-1)+('Plan ventes'!X64)*Parametres!$D$106+'Plan ventes'!X66*Parametres!$D$107+'Plan ventes'!X60*Parametres!$D$108)</f>
        <v>-465287.92104925064</v>
      </c>
      <c r="Y7" s="101">
        <f>-(('Plan ventes'!Y17+'Plan ventes'!Y23+'Plan ventes'!Y43+'Plan ventes'!Y56)*Parametres!$D$105+('Plan ventes'!Y19+'Plan ventes'!Y52)*Parametres!$D$104*(1+Parametres!$D$46)^(Y$2-1)+('Plan ventes'!Y64)*Parametres!$D$106+'Plan ventes'!Y66*Parametres!$D$107+'Plan ventes'!Y60*Parametres!$D$108)</f>
        <v>-475198.32944373169</v>
      </c>
      <c r="Z7" s="101">
        <f>-(('Plan ventes'!Z17+'Plan ventes'!Z23+'Plan ventes'!Z43+'Plan ventes'!Z56)*Parametres!$D$105+('Plan ventes'!Z19+'Plan ventes'!Z52)*Parametres!$D$104*(1+Parametres!$D$46)^(Z$2-1)+('Plan ventes'!Z64)*Parametres!$D$106+'Plan ventes'!Z66*Parametres!$D$107+'Plan ventes'!Z60*Parametres!$D$108)</f>
        <v>-501877.89676731499</v>
      </c>
      <c r="AA7" s="101">
        <f>-(('Plan ventes'!AA17+'Plan ventes'!AA23+'Plan ventes'!AA43+'Plan ventes'!AA56)*Parametres!$D$105+('Plan ventes'!AA19+'Plan ventes'!AA52)*Parametres!$D$104*(1+Parametres!$D$46)^(AA$2-1)+('Plan ventes'!AA64)*Parametres!$D$106+'Plan ventes'!AA66*Parametres!$D$107+'Plan ventes'!AA60*Parametres!$D$108)</f>
        <v>-532343.73711047159</v>
      </c>
      <c r="AB7" s="101">
        <f>-(('Plan ventes'!AB17+'Plan ventes'!AB23+'Plan ventes'!AB43+'Plan ventes'!AB56)*Parametres!$D$105+('Plan ventes'!AB19+'Plan ventes'!AB52)*Parametres!$D$104*(1+Parametres!$D$46)^(AB$2-1)+('Plan ventes'!AB64)*Parametres!$D$106+'Plan ventes'!AB66*Parametres!$D$107+'Plan ventes'!AB60*Parametres!$D$108)</f>
        <v>-544686.1593050533</v>
      </c>
      <c r="AC7" s="101">
        <f>-(('Plan ventes'!AC17+'Plan ventes'!AC23+'Plan ventes'!AC43+'Plan ventes'!AC56)*Parametres!$D$105+('Plan ventes'!AC19+'Plan ventes'!AC52)*Parametres!$D$104*(1+Parametres!$D$46)^(AC$2-1)+('Plan ventes'!AC64)*Parametres!$D$106+'Plan ventes'!AC66*Parametres!$D$107+'Plan ventes'!AC60*Parametres!$D$108)</f>
        <v>-557302.53661844495</v>
      </c>
      <c r="AD7" s="101">
        <f>-(('Plan ventes'!AD17+'Plan ventes'!AD23+'Plan ventes'!AD43+'Plan ventes'!AD56)*Parametres!$D$105+('Plan ventes'!AD19+'Plan ventes'!AD52)*Parametres!$D$104*(1+Parametres!$D$46)^(AD$2-1)+('Plan ventes'!AD64)*Parametres!$D$106+'Plan ventes'!AD66*Parametres!$D$107+'Plan ventes'!AD60*Parametres!$D$108)</f>
        <v>-570200.46405912715</v>
      </c>
      <c r="AE7" s="101">
        <f>-(('Plan ventes'!AE17+'Plan ventes'!AE23+'Plan ventes'!AE43+'Plan ventes'!AE56)*Parametres!$D$105+('Plan ventes'!AE19+'Plan ventes'!AE52)*Parametres!$D$104*(1+Parametres!$D$46)^(AE$2-1)+('Plan ventes'!AE64)*Parametres!$D$106+'Plan ventes'!AE66*Parametres!$D$107+'Plan ventes'!AE60*Parametres!$D$108)</f>
        <v>-583387.70262845908</v>
      </c>
      <c r="AF7" s="101">
        <f>-(('Plan ventes'!AF17+'Plan ventes'!AF23+'Plan ventes'!AF43+'Plan ventes'!AF56)*Parametres!$D$105+('Plan ventes'!AF19+'Plan ventes'!AF52)*Parametres!$D$104*(1+Parametres!$D$46)^(AF$2-1)+('Plan ventes'!AF64)*Parametres!$D$106+'Plan ventes'!AF66*Parametres!$D$107+'Plan ventes'!AF60*Parametres!$D$108)</f>
        <v>-596872.18429092248</v>
      </c>
      <c r="AG7" s="101">
        <f>-(('Plan ventes'!AG17+'Plan ventes'!AG23+'Plan ventes'!AG43+'Plan ventes'!AG56)*Parametres!$D$105+('Plan ventes'!AG19+'Plan ventes'!AG52)*Parametres!$D$104*(1+Parametres!$D$46)^(AG$2-1)+('Plan ventes'!AG64)*Parametres!$D$106+'Plan ventes'!AG66*Parametres!$D$107+'Plan ventes'!AG60*Parametres!$D$108)</f>
        <v>-610662.01705090236</v>
      </c>
      <c r="AH7" s="101">
        <f>-(('Plan ventes'!AH17+'Plan ventes'!AH23+'Plan ventes'!AH43+'Plan ventes'!AH56)*Parametres!$D$105+('Plan ventes'!AH19+'Plan ventes'!AH52)*Parametres!$D$104*(1+Parametres!$D$46)^(AH$2-1)+('Plan ventes'!AH64)*Parametres!$D$106+'Plan ventes'!AH66*Parametres!$D$107+'Plan ventes'!AH60*Parametres!$D$108)</f>
        <v>-624765.490139517</v>
      </c>
      <c r="AI7" s="101">
        <f>-(('Plan ventes'!AI17+'Plan ventes'!AI23+'Plan ventes'!AI43+'Plan ventes'!AI56)*Parametres!$D$105+('Plan ventes'!AI19+'Plan ventes'!AI52)*Parametres!$D$104*(1+Parametres!$D$46)^(AI$2-1)+('Plan ventes'!AI64)*Parametres!$D$106+'Plan ventes'!AI66*Parametres!$D$107+'Plan ventes'!AI60*Parametres!$D$108)</f>
        <v>-639191.07931508601</v>
      </c>
      <c r="AJ7" s="101">
        <f>-(('Plan ventes'!AJ17+'Plan ventes'!AJ23+'Plan ventes'!AJ43+'Plan ventes'!AJ56)*Parametres!$D$105+('Plan ventes'!AJ19+'Plan ventes'!AJ52)*Parametres!$D$104*(1+Parametres!$D$46)^(AJ$2-1)+('Plan ventes'!AJ64)*Parametres!$D$106+'Plan ventes'!AJ66*Parametres!$D$107+'Plan ventes'!AJ60*Parametres!$D$108)</f>
        <v>-653947.45228090265</v>
      </c>
      <c r="AK7" s="101">
        <f>-(('Plan ventes'!AK17+'Plan ventes'!AK23+'Plan ventes'!AK43+'Plan ventes'!AK56)*Parametres!$D$105+('Plan ventes'!AK19+'Plan ventes'!AK52)*Parametres!$D$104*(1+Parametres!$D$46)^(AK$2-1)+('Plan ventes'!AK64)*Parametres!$D$106+'Plan ventes'!AK66*Parametres!$D$107+'Plan ventes'!AK60*Parametres!$D$108)</f>
        <v>-669043.4742240624</v>
      </c>
    </row>
    <row r="8" spans="1:37" ht="15" customHeight="1" x14ac:dyDescent="0.2">
      <c r="A8" s="17" t="s">
        <v>406</v>
      </c>
      <c r="B8" s="21">
        <f t="shared" ref="B8:AK8" si="0">B5+B7</f>
        <v>975986.46</v>
      </c>
      <c r="C8" s="21">
        <f t="shared" si="0"/>
        <v>1159856.3994</v>
      </c>
      <c r="D8" s="21">
        <f t="shared" si="0"/>
        <v>1217214.9575159999</v>
      </c>
      <c r="E8" s="21">
        <f t="shared" si="0"/>
        <v>1276972.9382031902</v>
      </c>
      <c r="F8" s="21">
        <f t="shared" si="0"/>
        <v>1339261.2847993521</v>
      </c>
      <c r="G8" s="21">
        <f t="shared" si="0"/>
        <v>1404217.0979495132</v>
      </c>
      <c r="H8" s="21">
        <f t="shared" si="0"/>
        <v>1531107.4809846533</v>
      </c>
      <c r="I8" s="21">
        <f t="shared" si="0"/>
        <v>1603018.2363636745</v>
      </c>
      <c r="J8" s="21">
        <f t="shared" si="0"/>
        <v>1678071.6158473839</v>
      </c>
      <c r="K8" s="21">
        <f t="shared" si="0"/>
        <v>1756433.1657523818</v>
      </c>
      <c r="L8" s="21">
        <f t="shared" si="0"/>
        <v>1838276.3548818482</v>
      </c>
      <c r="M8" s="21">
        <f t="shared" si="0"/>
        <v>1923782.9792693814</v>
      </c>
      <c r="N8" s="21">
        <f t="shared" si="0"/>
        <v>2173530.6386007234</v>
      </c>
      <c r="O8" s="21">
        <f t="shared" si="0"/>
        <v>2264368.2942158617</v>
      </c>
      <c r="P8" s="21">
        <f t="shared" si="0"/>
        <v>2359216.0701977042</v>
      </c>
      <c r="Q8" s="21">
        <f t="shared" si="0"/>
        <v>2457905.2956916592</v>
      </c>
      <c r="R8" s="21">
        <f t="shared" si="0"/>
        <v>2560613.7333705435</v>
      </c>
      <c r="S8" s="21">
        <f t="shared" si="0"/>
        <v>2667526.7829057355</v>
      </c>
      <c r="T8" s="21">
        <f t="shared" si="0"/>
        <v>2778837.8289321586</v>
      </c>
      <c r="U8" s="21">
        <f t="shared" si="0"/>
        <v>2894748.6043166313</v>
      </c>
      <c r="V8" s="21">
        <f t="shared" si="0"/>
        <v>3015469.5694202716</v>
      </c>
      <c r="W8" s="21">
        <f t="shared" si="0"/>
        <v>3141220.3080762993</v>
      </c>
      <c r="X8" s="21">
        <f t="shared" si="0"/>
        <v>3272229.9410366607</v>
      </c>
      <c r="Y8" s="21">
        <f t="shared" si="0"/>
        <v>3408737.5576743386</v>
      </c>
      <c r="Z8" s="21">
        <f t="shared" si="0"/>
        <v>3821259.6860405351</v>
      </c>
      <c r="AA8" s="21">
        <f t="shared" si="0"/>
        <v>3949821.0189798381</v>
      </c>
      <c r="AB8" s="21">
        <f t="shared" si="0"/>
        <v>4100968.2440614072</v>
      </c>
      <c r="AC8" s="21">
        <f t="shared" si="0"/>
        <v>4256496.1630805666</v>
      </c>
      <c r="AD8" s="21">
        <f t="shared" si="0"/>
        <v>4416595.2511809524</v>
      </c>
      <c r="AE8" s="21">
        <f t="shared" si="0"/>
        <v>4581461.9564011404</v>
      </c>
      <c r="AF8" s="21">
        <f t="shared" si="0"/>
        <v>4751298.9464546405</v>
      </c>
      <c r="AG8" s="21">
        <f t="shared" si="0"/>
        <v>4926315.363672927</v>
      </c>
      <c r="AH8" s="21">
        <f t="shared" si="0"/>
        <v>5106727.0884364415</v>
      </c>
      <c r="AI8" s="21">
        <f t="shared" si="0"/>
        <v>5292757.0114297038</v>
      </c>
      <c r="AJ8" s="21">
        <f t="shared" si="0"/>
        <v>5484635.3150682477</v>
      </c>
      <c r="AK8" s="21">
        <f t="shared" si="0"/>
        <v>5682599.7644570349</v>
      </c>
    </row>
    <row r="9" spans="1:37" ht="15" customHeight="1" x14ac:dyDescent="0.2">
      <c r="A9" s="11" t="s">
        <v>407</v>
      </c>
      <c r="B9" s="22">
        <f t="shared" ref="B9:AK9" si="1">IF(B5=0,0,B8/B5)</f>
        <v>0.69978236179823616</v>
      </c>
      <c r="C9" s="22">
        <f t="shared" si="1"/>
        <v>0.7969394145758717</v>
      </c>
      <c r="D9" s="22">
        <f t="shared" si="1"/>
        <v>0.80161297656146047</v>
      </c>
      <c r="E9" s="22">
        <f t="shared" si="1"/>
        <v>0.80615256766630428</v>
      </c>
      <c r="F9" s="22">
        <f t="shared" si="1"/>
        <v>0.81056719938129329</v>
      </c>
      <c r="G9" s="22">
        <f t="shared" si="1"/>
        <v>0.81486487831150689</v>
      </c>
      <c r="H9" s="22">
        <f t="shared" si="1"/>
        <v>0.82481592590069908</v>
      </c>
      <c r="I9" s="22">
        <f t="shared" si="1"/>
        <v>0.82865061596213196</v>
      </c>
      <c r="J9" s="22">
        <f t="shared" si="1"/>
        <v>0.83239852331649322</v>
      </c>
      <c r="K9" s="22">
        <f t="shared" si="1"/>
        <v>0.83606402609850627</v>
      </c>
      <c r="L9" s="22">
        <f t="shared" si="1"/>
        <v>0.83965102524629787</v>
      </c>
      <c r="M9" s="22">
        <f t="shared" si="1"/>
        <v>0.84316299818130835</v>
      </c>
      <c r="N9" s="22">
        <f t="shared" si="1"/>
        <v>0.85224879113928564</v>
      </c>
      <c r="O9" s="22">
        <f t="shared" si="1"/>
        <v>0.85463691491722216</v>
      </c>
      <c r="P9" s="22">
        <f t="shared" si="1"/>
        <v>0.85711317901571649</v>
      </c>
      <c r="Q9" s="22">
        <f t="shared" si="1"/>
        <v>0.85954657845432669</v>
      </c>
      <c r="R9" s="22">
        <f t="shared" si="1"/>
        <v>0.8619388852129487</v>
      </c>
      <c r="S9" s="22">
        <f t="shared" si="1"/>
        <v>0.86429169431646513</v>
      </c>
      <c r="T9" s="22">
        <f t="shared" si="1"/>
        <v>0.86660644187526126</v>
      </c>
      <c r="U9" s="22">
        <f t="shared" si="1"/>
        <v>0.86888442133442345</v>
      </c>
      <c r="V9" s="22">
        <f t="shared" si="1"/>
        <v>0.87112679812815641</v>
      </c>
      <c r="W9" s="22">
        <f t="shared" si="1"/>
        <v>0.87333462291041675</v>
      </c>
      <c r="X9" s="22">
        <f t="shared" si="1"/>
        <v>0.87550884351103186</v>
      </c>
      <c r="Y9" s="22">
        <f t="shared" si="1"/>
        <v>0.8776503157480452</v>
      </c>
      <c r="Z9" s="22">
        <f t="shared" si="1"/>
        <v>0.88390887702413845</v>
      </c>
      <c r="AA9" s="22">
        <f t="shared" si="1"/>
        <v>0.88123066284274143</v>
      </c>
      <c r="AB9" s="22">
        <f t="shared" si="1"/>
        <v>0.88275362047802175</v>
      </c>
      <c r="AC9" s="22">
        <f t="shared" si="1"/>
        <v>0.88422811767070963</v>
      </c>
      <c r="AD9" s="22">
        <f t="shared" si="1"/>
        <v>0.88565794618044102</v>
      </c>
      <c r="AE9" s="22">
        <f t="shared" si="1"/>
        <v>0.88704652775158044</v>
      </c>
      <c r="AF9" s="22">
        <f t="shared" si="1"/>
        <v>0.88839695482823577</v>
      </c>
      <c r="AG9" s="22">
        <f t="shared" si="1"/>
        <v>0.88971202606374511</v>
      </c>
      <c r="AH9" s="22">
        <f t="shared" si="1"/>
        <v>0.89099427739383974</v>
      </c>
      <c r="AI9" s="22">
        <f t="shared" si="1"/>
        <v>0.8922460093148199</v>
      </c>
      <c r="AJ9" s="22">
        <f t="shared" si="1"/>
        <v>0.89346931090361448</v>
      </c>
      <c r="AK9" s="22">
        <f t="shared" si="1"/>
        <v>0.89466608103086909</v>
      </c>
    </row>
    <row r="11" spans="1:37" ht="15" customHeight="1" x14ac:dyDescent="0.2">
      <c r="A11" s="11" t="s">
        <v>243</v>
      </c>
      <c r="B11" s="19">
        <f>-Parametres!$D$112*(1+Parametres!$D$47)^(B$2-1)</f>
        <v>-125000</v>
      </c>
      <c r="C11" s="19">
        <f>-Parametres!$D$112*(1+Parametres!$D$47)^(C$2-1)</f>
        <v>-125000</v>
      </c>
      <c r="D11" s="19">
        <f>-Parametres!$D$112*(1+Parametres!$D$47)^(D$2-1)</f>
        <v>-125000</v>
      </c>
      <c r="E11" s="19">
        <f>-Parametres!$D$112*(1+Parametres!$D$47)^(E$2-1)</f>
        <v>-125000</v>
      </c>
      <c r="F11" s="19">
        <f>-Parametres!$D$112*(1+Parametres!$D$47)^(F$2-1)</f>
        <v>-125000</v>
      </c>
      <c r="G11" s="19">
        <f>-Parametres!$D$112*(1+Parametres!$D$47)^(G$2-1)</f>
        <v>-125000</v>
      </c>
      <c r="H11" s="19">
        <f>-Parametres!$D$112*(1+Parametres!$D$47)^(H$2-1)</f>
        <v>-125000</v>
      </c>
      <c r="I11" s="19">
        <f>-Parametres!$D$112*(1+Parametres!$D$47)^(I$2-1)</f>
        <v>-125000</v>
      </c>
      <c r="J11" s="19">
        <f>-Parametres!$D$112*(1+Parametres!$D$47)^(J$2-1)</f>
        <v>-125000</v>
      </c>
      <c r="K11" s="19">
        <f>-Parametres!$D$112*(1+Parametres!$D$47)^(K$2-1)</f>
        <v>-125000</v>
      </c>
      <c r="L11" s="19">
        <f>-Parametres!$D$112*(1+Parametres!$D$47)^(L$2-1)</f>
        <v>-125000</v>
      </c>
      <c r="M11" s="19">
        <f>-Parametres!$D$112*(1+Parametres!$D$47)^(M$2-1)</f>
        <v>-125000</v>
      </c>
      <c r="N11" s="19">
        <f>-Parametres!$D$112*(1+Parametres!$D$47)^(N$2-1)</f>
        <v>-135000</v>
      </c>
      <c r="O11" s="19">
        <f>-Parametres!$D$112*(1+Parametres!$D$47)^(O$2-1)</f>
        <v>-135000</v>
      </c>
      <c r="P11" s="19">
        <f>-Parametres!$D$112*(1+Parametres!$D$47)^(P$2-1)</f>
        <v>-135000</v>
      </c>
      <c r="Q11" s="19">
        <f>-Parametres!$D$112*(1+Parametres!$D$47)^(Q$2-1)</f>
        <v>-135000</v>
      </c>
      <c r="R11" s="19">
        <f>-Parametres!$D$112*(1+Parametres!$D$47)^(R$2-1)</f>
        <v>-135000</v>
      </c>
      <c r="S11" s="19">
        <f>-Parametres!$D$112*(1+Parametres!$D$47)^(S$2-1)</f>
        <v>-135000</v>
      </c>
      <c r="T11" s="19">
        <f>-Parametres!$D$112*(1+Parametres!$D$47)^(T$2-1)</f>
        <v>-135000</v>
      </c>
      <c r="U11" s="19">
        <f>-Parametres!$D$112*(1+Parametres!$D$47)^(U$2-1)</f>
        <v>-135000</v>
      </c>
      <c r="V11" s="19">
        <f>-Parametres!$D$112*(1+Parametres!$D$47)^(V$2-1)</f>
        <v>-135000</v>
      </c>
      <c r="W11" s="19">
        <f>-Parametres!$D$112*(1+Parametres!$D$47)^(W$2-1)</f>
        <v>-135000</v>
      </c>
      <c r="X11" s="19">
        <f>-Parametres!$D$112*(1+Parametres!$D$47)^(X$2-1)</f>
        <v>-135000</v>
      </c>
      <c r="Y11" s="19">
        <f>-Parametres!$D$112*(1+Parametres!$D$47)^(Y$2-1)</f>
        <v>-135000</v>
      </c>
      <c r="Z11" s="19">
        <f>-Parametres!$D$112*(1+Parametres!$D$47)^(Z$2-1)</f>
        <v>-145800</v>
      </c>
      <c r="AA11" s="19">
        <f>-Parametres!$D$112*(1+Parametres!$D$47)^(AA$2-1)</f>
        <v>-145800</v>
      </c>
      <c r="AB11" s="19">
        <f>-Parametres!$D$112*(1+Parametres!$D$47)^(AB$2-1)</f>
        <v>-145800</v>
      </c>
      <c r="AC11" s="19">
        <f>-Parametres!$D$112*(1+Parametres!$D$47)^(AC$2-1)</f>
        <v>-145800</v>
      </c>
      <c r="AD11" s="19">
        <f>-Parametres!$D$112*(1+Parametres!$D$47)^(AD$2-1)</f>
        <v>-145800</v>
      </c>
      <c r="AE11" s="19">
        <f>-Parametres!$D$112*(1+Parametres!$D$47)^(AE$2-1)</f>
        <v>-145800</v>
      </c>
      <c r="AF11" s="19">
        <f>-Parametres!$D$112*(1+Parametres!$D$47)^(AF$2-1)</f>
        <v>-145800</v>
      </c>
      <c r="AG11" s="19">
        <f>-Parametres!$D$112*(1+Parametres!$D$47)^(AG$2-1)</f>
        <v>-145800</v>
      </c>
      <c r="AH11" s="19">
        <f>-Parametres!$D$112*(1+Parametres!$D$47)^(AH$2-1)</f>
        <v>-145800</v>
      </c>
      <c r="AI11" s="19">
        <f>-Parametres!$D$112*(1+Parametres!$D$47)^(AI$2-1)</f>
        <v>-145800</v>
      </c>
      <c r="AJ11" s="19">
        <f>-Parametres!$D$112*(1+Parametres!$D$47)^(AJ$2-1)</f>
        <v>-145800</v>
      </c>
      <c r="AK11" s="19">
        <f>-Parametres!$D$112*(1+Parametres!$D$47)^(AK$2-1)</f>
        <v>-145800</v>
      </c>
    </row>
    <row r="12" spans="1:37" ht="15" customHeight="1" x14ac:dyDescent="0.2">
      <c r="A12" s="11" t="s">
        <v>408</v>
      </c>
      <c r="B12" s="101">
        <f>-(((Parametres!$D$113+Parametres!$D$114)*(1+Parametres!$D$115))*(1+Parametres!$D$47)^(B$2-1)+IF('Plan ventes'!B70=1,Parametres!$D$125*(1+Parametres!$D$115)*(1+Parametres!$D$47)^(B$2-1),0))</f>
        <v>-2124000</v>
      </c>
      <c r="C12" s="101">
        <f>-(((Parametres!$D$113+Parametres!$D$114)*(1+Parametres!$D$115))*(1+Parametres!$D$47)^(C$2-1)+IF('Plan ventes'!C70=1,Parametres!$D$125*(1+Parametres!$D$115)*(1+Parametres!$D$47)^(C$2-1),0))</f>
        <v>-2124000</v>
      </c>
      <c r="D12" s="101">
        <f>-(((Parametres!$D$113+Parametres!$D$114)*(1+Parametres!$D$115))*(1+Parametres!$D$47)^(D$2-1)+IF('Plan ventes'!D70=1,Parametres!$D$125*(1+Parametres!$D$115)*(1+Parametres!$D$47)^(D$2-1),0))</f>
        <v>-2124000</v>
      </c>
      <c r="E12" s="101">
        <f>-(((Parametres!$D$113+Parametres!$D$114)*(1+Parametres!$D$115))*(1+Parametres!$D$47)^(E$2-1)+IF('Plan ventes'!E70=1,Parametres!$D$125*(1+Parametres!$D$115)*(1+Parametres!$D$47)^(E$2-1),0))</f>
        <v>-2124000</v>
      </c>
      <c r="F12" s="101">
        <f>-(((Parametres!$D$113+Parametres!$D$114)*(1+Parametres!$D$115))*(1+Parametres!$D$47)^(F$2-1)+IF('Plan ventes'!F70=1,Parametres!$D$125*(1+Parametres!$D$115)*(1+Parametres!$D$47)^(F$2-1),0))</f>
        <v>-2124000</v>
      </c>
      <c r="G12" s="101">
        <f>-(((Parametres!$D$113+Parametres!$D$114)*(1+Parametres!$D$115))*(1+Parametres!$D$47)^(G$2-1)+IF('Plan ventes'!G70=1,Parametres!$D$125*(1+Parametres!$D$115)*(1+Parametres!$D$47)^(G$2-1),0))</f>
        <v>-2124000</v>
      </c>
      <c r="H12" s="101">
        <f>-(((Parametres!$D$113+Parametres!$D$114)*(1+Parametres!$D$115))*(1+Parametres!$D$47)^(H$2-1)+IF('Plan ventes'!H70=1,Parametres!$D$125*(1+Parametres!$D$115)*(1+Parametres!$D$47)^(H$2-1),0))</f>
        <v>-2124000</v>
      </c>
      <c r="I12" s="101">
        <f>-(((Parametres!$D$113+Parametres!$D$114)*(1+Parametres!$D$115))*(1+Parametres!$D$47)^(I$2-1)+IF('Plan ventes'!I70=1,Parametres!$D$125*(1+Parametres!$D$115)*(1+Parametres!$D$47)^(I$2-1),0))</f>
        <v>-2124000</v>
      </c>
      <c r="J12" s="101">
        <f>-(((Parametres!$D$113+Parametres!$D$114)*(1+Parametres!$D$115))*(1+Parametres!$D$47)^(J$2-1)+IF('Plan ventes'!J70=1,Parametres!$D$125*(1+Parametres!$D$115)*(1+Parametres!$D$47)^(J$2-1),0))</f>
        <v>-2124000</v>
      </c>
      <c r="K12" s="101">
        <f>-(((Parametres!$D$113+Parametres!$D$114)*(1+Parametres!$D$115))*(1+Parametres!$D$47)^(K$2-1)+IF('Plan ventes'!K70=1,Parametres!$D$125*(1+Parametres!$D$115)*(1+Parametres!$D$47)^(K$2-1),0))</f>
        <v>-2124000</v>
      </c>
      <c r="L12" s="101">
        <f>-(((Parametres!$D$113+Parametres!$D$114)*(1+Parametres!$D$115))*(1+Parametres!$D$47)^(L$2-1)+IF('Plan ventes'!L70=1,Parametres!$D$125*(1+Parametres!$D$115)*(1+Parametres!$D$47)^(L$2-1),0))</f>
        <v>-2124000</v>
      </c>
      <c r="M12" s="101">
        <f>-(((Parametres!$D$113+Parametres!$D$114)*(1+Parametres!$D$115))*(1+Parametres!$D$47)^(M$2-1)+IF('Plan ventes'!M70=1,Parametres!$D$125*(1+Parametres!$D$115)*(1+Parametres!$D$47)^(M$2-1),0))</f>
        <v>-2124000</v>
      </c>
      <c r="N12" s="101">
        <f>-(((Parametres!$D$113+Parametres!$D$114)*(1+Parametres!$D$115))*(1+Parametres!$D$47)^(N$2-1)+IF('Plan ventes'!N70=1,Parametres!$D$125*(1+Parametres!$D$115)*(1+Parametres!$D$47)^(N$2-1),0))</f>
        <v>-2293920</v>
      </c>
      <c r="O12" s="101">
        <f>-(((Parametres!$D$113+Parametres!$D$114)*(1+Parametres!$D$115))*(1+Parametres!$D$47)^(O$2-1)+IF('Plan ventes'!O70=1,Parametres!$D$125*(1+Parametres!$D$115)*(1+Parametres!$D$47)^(O$2-1),0))</f>
        <v>-2293920</v>
      </c>
      <c r="P12" s="101">
        <f>-(((Parametres!$D$113+Parametres!$D$114)*(1+Parametres!$D$115))*(1+Parametres!$D$47)^(P$2-1)+IF('Plan ventes'!P70=1,Parametres!$D$125*(1+Parametres!$D$115)*(1+Parametres!$D$47)^(P$2-1),0))</f>
        <v>-2293920</v>
      </c>
      <c r="Q12" s="101">
        <f>-(((Parametres!$D$113+Parametres!$D$114)*(1+Parametres!$D$115))*(1+Parametres!$D$47)^(Q$2-1)+IF('Plan ventes'!Q70=1,Parametres!$D$125*(1+Parametres!$D$115)*(1+Parametres!$D$47)^(Q$2-1),0))</f>
        <v>-2293920</v>
      </c>
      <c r="R12" s="101">
        <f>-(((Parametres!$D$113+Parametres!$D$114)*(1+Parametres!$D$115))*(1+Parametres!$D$47)^(R$2-1)+IF('Plan ventes'!R70=1,Parametres!$D$125*(1+Parametres!$D$115)*(1+Parametres!$D$47)^(R$2-1),0))</f>
        <v>-2293920</v>
      </c>
      <c r="S12" s="101">
        <f>-(((Parametres!$D$113+Parametres!$D$114)*(1+Parametres!$D$115))*(1+Parametres!$D$47)^(S$2-1)+IF('Plan ventes'!S70=1,Parametres!$D$125*(1+Parametres!$D$115)*(1+Parametres!$D$47)^(S$2-1),0))</f>
        <v>-2293920</v>
      </c>
      <c r="T12" s="101">
        <f>-(((Parametres!$D$113+Parametres!$D$114)*(1+Parametres!$D$115))*(1+Parametres!$D$47)^(T$2-1)+IF('Plan ventes'!T70=1,Parametres!$D$125*(1+Parametres!$D$115)*(1+Parametres!$D$47)^(T$2-1),0))</f>
        <v>-2293920</v>
      </c>
      <c r="U12" s="101">
        <f>-(((Parametres!$D$113+Parametres!$D$114)*(1+Parametres!$D$115))*(1+Parametres!$D$47)^(U$2-1)+IF('Plan ventes'!U70=1,Parametres!$D$125*(1+Parametres!$D$115)*(1+Parametres!$D$47)^(U$2-1),0))</f>
        <v>-2293920</v>
      </c>
      <c r="V12" s="101">
        <f>-(((Parametres!$D$113+Parametres!$D$114)*(1+Parametres!$D$115))*(1+Parametres!$D$47)^(V$2-1)+IF('Plan ventes'!V70=1,Parametres!$D$125*(1+Parametres!$D$115)*(1+Parametres!$D$47)^(V$2-1),0))</f>
        <v>-2293920</v>
      </c>
      <c r="W12" s="101">
        <f>-(((Parametres!$D$113+Parametres!$D$114)*(1+Parametres!$D$115))*(1+Parametres!$D$47)^(W$2-1)+IF('Plan ventes'!W70=1,Parametres!$D$125*(1+Parametres!$D$115)*(1+Parametres!$D$47)^(W$2-1),0))</f>
        <v>-2293920</v>
      </c>
      <c r="X12" s="101">
        <f>-(((Parametres!$D$113+Parametres!$D$114)*(1+Parametres!$D$115))*(1+Parametres!$D$47)^(X$2-1)+IF('Plan ventes'!X70=1,Parametres!$D$125*(1+Parametres!$D$115)*(1+Parametres!$D$47)^(X$2-1),0))</f>
        <v>-2293920</v>
      </c>
      <c r="Y12" s="101">
        <f>-(((Parametres!$D$113+Parametres!$D$114)*(1+Parametres!$D$115))*(1+Parametres!$D$47)^(Y$2-1)+IF('Plan ventes'!Y70=1,Parametres!$D$125*(1+Parametres!$D$115)*(1+Parametres!$D$47)^(Y$2-1),0))</f>
        <v>-2293920</v>
      </c>
      <c r="Z12" s="101">
        <f>-(((Parametres!$D$113+Parametres!$D$114)*(1+Parametres!$D$115))*(1+Parametres!$D$47)^(Z$2-1)+IF('Plan ventes'!Z70=1,Parametres!$D$125*(1+Parametres!$D$115)*(1+Parametres!$D$47)^(Z$2-1),0))</f>
        <v>-3027974.4000000004</v>
      </c>
      <c r="AA12" s="101">
        <f>-(((Parametres!$D$113+Parametres!$D$114)*(1+Parametres!$D$115))*(1+Parametres!$D$47)^(AA$2-1)+IF('Plan ventes'!AA70=1,Parametres!$D$125*(1+Parametres!$D$115)*(1+Parametres!$D$47)^(AA$2-1),0))</f>
        <v>-3027974.4000000004</v>
      </c>
      <c r="AB12" s="101">
        <f>-(((Parametres!$D$113+Parametres!$D$114)*(1+Parametres!$D$115))*(1+Parametres!$D$47)^(AB$2-1)+IF('Plan ventes'!AB70=1,Parametres!$D$125*(1+Parametres!$D$115)*(1+Parametres!$D$47)^(AB$2-1),0))</f>
        <v>-3027974.4000000004</v>
      </c>
      <c r="AC12" s="101">
        <f>-(((Parametres!$D$113+Parametres!$D$114)*(1+Parametres!$D$115))*(1+Parametres!$D$47)^(AC$2-1)+IF('Plan ventes'!AC70=1,Parametres!$D$125*(1+Parametres!$D$115)*(1+Parametres!$D$47)^(AC$2-1),0))</f>
        <v>-3027974.4000000004</v>
      </c>
      <c r="AD12" s="101">
        <f>-(((Parametres!$D$113+Parametres!$D$114)*(1+Parametres!$D$115))*(1+Parametres!$D$47)^(AD$2-1)+IF('Plan ventes'!AD70=1,Parametres!$D$125*(1+Parametres!$D$115)*(1+Parametres!$D$47)^(AD$2-1),0))</f>
        <v>-3027974.4000000004</v>
      </c>
      <c r="AE12" s="101">
        <f>-(((Parametres!$D$113+Parametres!$D$114)*(1+Parametres!$D$115))*(1+Parametres!$D$47)^(AE$2-1)+IF('Plan ventes'!AE70=1,Parametres!$D$125*(1+Parametres!$D$115)*(1+Parametres!$D$47)^(AE$2-1),0))</f>
        <v>-3027974.4000000004</v>
      </c>
      <c r="AF12" s="101">
        <f>-(((Parametres!$D$113+Parametres!$D$114)*(1+Parametres!$D$115))*(1+Parametres!$D$47)^(AF$2-1)+IF('Plan ventes'!AF70=1,Parametres!$D$125*(1+Parametres!$D$115)*(1+Parametres!$D$47)^(AF$2-1),0))</f>
        <v>-3027974.4000000004</v>
      </c>
      <c r="AG12" s="101">
        <f>-(((Parametres!$D$113+Parametres!$D$114)*(1+Parametres!$D$115))*(1+Parametres!$D$47)^(AG$2-1)+IF('Plan ventes'!AG70=1,Parametres!$D$125*(1+Parametres!$D$115)*(1+Parametres!$D$47)^(AG$2-1),0))</f>
        <v>-3027974.4000000004</v>
      </c>
      <c r="AH12" s="101">
        <f>-(((Parametres!$D$113+Parametres!$D$114)*(1+Parametres!$D$115))*(1+Parametres!$D$47)^(AH$2-1)+IF('Plan ventes'!AH70=1,Parametres!$D$125*(1+Parametres!$D$115)*(1+Parametres!$D$47)^(AH$2-1),0))</f>
        <v>-3027974.4000000004</v>
      </c>
      <c r="AI12" s="101">
        <f>-(((Parametres!$D$113+Parametres!$D$114)*(1+Parametres!$D$115))*(1+Parametres!$D$47)^(AI$2-1)+IF('Plan ventes'!AI70=1,Parametres!$D$125*(1+Parametres!$D$115)*(1+Parametres!$D$47)^(AI$2-1),0))</f>
        <v>-3027974.4000000004</v>
      </c>
      <c r="AJ12" s="101">
        <f>-(((Parametres!$D$113+Parametres!$D$114)*(1+Parametres!$D$115))*(1+Parametres!$D$47)^(AJ$2-1)+IF('Plan ventes'!AJ70=1,Parametres!$D$125*(1+Parametres!$D$115)*(1+Parametres!$D$47)^(AJ$2-1),0))</f>
        <v>-3027974.4000000004</v>
      </c>
      <c r="AK12" s="101">
        <f>-(((Parametres!$D$113+Parametres!$D$114)*(1+Parametres!$D$115))*(1+Parametres!$D$47)^(AK$2-1)+IF('Plan ventes'!AK70=1,Parametres!$D$125*(1+Parametres!$D$115)*(1+Parametres!$D$47)^(AK$2-1),0))</f>
        <v>-3027974.4000000004</v>
      </c>
    </row>
    <row r="13" spans="1:37" ht="15" customHeight="1" x14ac:dyDescent="0.2">
      <c r="A13" s="11" t="s">
        <v>251</v>
      </c>
      <c r="B13" s="19">
        <f>-Parametres!$D$117*(1+Parametres!$D$47)^(B$2-1)</f>
        <v>-16583</v>
      </c>
      <c r="C13" s="19">
        <f>-Parametres!$D$117*(1+Parametres!$D$47)^(C$2-1)</f>
        <v>-16583</v>
      </c>
      <c r="D13" s="19">
        <f>-Parametres!$D$117*(1+Parametres!$D$47)^(D$2-1)</f>
        <v>-16583</v>
      </c>
      <c r="E13" s="19">
        <f>-Parametres!$D$117*(1+Parametres!$D$47)^(E$2-1)</f>
        <v>-16583</v>
      </c>
      <c r="F13" s="19">
        <f>-Parametres!$D$117*(1+Parametres!$D$47)^(F$2-1)</f>
        <v>-16583</v>
      </c>
      <c r="G13" s="19">
        <f>-Parametres!$D$117*(1+Parametres!$D$47)^(G$2-1)</f>
        <v>-16583</v>
      </c>
      <c r="H13" s="19">
        <f>-Parametres!$D$117*(1+Parametres!$D$47)^(H$2-1)</f>
        <v>-16583</v>
      </c>
      <c r="I13" s="19">
        <f>-Parametres!$D$117*(1+Parametres!$D$47)^(I$2-1)</f>
        <v>-16583</v>
      </c>
      <c r="J13" s="19">
        <f>-Parametres!$D$117*(1+Parametres!$D$47)^(J$2-1)</f>
        <v>-16583</v>
      </c>
      <c r="K13" s="19">
        <f>-Parametres!$D$117*(1+Parametres!$D$47)^(K$2-1)</f>
        <v>-16583</v>
      </c>
      <c r="L13" s="19">
        <f>-Parametres!$D$117*(1+Parametres!$D$47)^(L$2-1)</f>
        <v>-16583</v>
      </c>
      <c r="M13" s="19">
        <f>-Parametres!$D$117*(1+Parametres!$D$47)^(M$2-1)</f>
        <v>-16583</v>
      </c>
      <c r="N13" s="19">
        <f>-Parametres!$D$117*(1+Parametres!$D$47)^(N$2-1)</f>
        <v>-17909.64</v>
      </c>
      <c r="O13" s="19">
        <f>-Parametres!$D$117*(1+Parametres!$D$47)^(O$2-1)</f>
        <v>-17909.64</v>
      </c>
      <c r="P13" s="19">
        <f>-Parametres!$D$117*(1+Parametres!$D$47)^(P$2-1)</f>
        <v>-17909.64</v>
      </c>
      <c r="Q13" s="19">
        <f>-Parametres!$D$117*(1+Parametres!$D$47)^(Q$2-1)</f>
        <v>-17909.64</v>
      </c>
      <c r="R13" s="19">
        <f>-Parametres!$D$117*(1+Parametres!$D$47)^(R$2-1)</f>
        <v>-17909.64</v>
      </c>
      <c r="S13" s="19">
        <f>-Parametres!$D$117*(1+Parametres!$D$47)^(S$2-1)</f>
        <v>-17909.64</v>
      </c>
      <c r="T13" s="19">
        <f>-Parametres!$D$117*(1+Parametres!$D$47)^(T$2-1)</f>
        <v>-17909.64</v>
      </c>
      <c r="U13" s="19">
        <f>-Parametres!$D$117*(1+Parametres!$D$47)^(U$2-1)</f>
        <v>-17909.64</v>
      </c>
      <c r="V13" s="19">
        <f>-Parametres!$D$117*(1+Parametres!$D$47)^(V$2-1)</f>
        <v>-17909.64</v>
      </c>
      <c r="W13" s="19">
        <f>-Parametres!$D$117*(1+Parametres!$D$47)^(W$2-1)</f>
        <v>-17909.64</v>
      </c>
      <c r="X13" s="19">
        <f>-Parametres!$D$117*(1+Parametres!$D$47)^(X$2-1)</f>
        <v>-17909.64</v>
      </c>
      <c r="Y13" s="19">
        <f>-Parametres!$D$117*(1+Parametres!$D$47)^(Y$2-1)</f>
        <v>-17909.64</v>
      </c>
      <c r="Z13" s="19">
        <f>-Parametres!$D$117*(1+Parametres!$D$47)^(Z$2-1)</f>
        <v>-19342.411200000002</v>
      </c>
      <c r="AA13" s="19">
        <f>-Parametres!$D$117*(1+Parametres!$D$47)^(AA$2-1)</f>
        <v>-19342.411200000002</v>
      </c>
      <c r="AB13" s="19">
        <f>-Parametres!$D$117*(1+Parametres!$D$47)^(AB$2-1)</f>
        <v>-19342.411200000002</v>
      </c>
      <c r="AC13" s="19">
        <f>-Parametres!$D$117*(1+Parametres!$D$47)^(AC$2-1)</f>
        <v>-19342.411200000002</v>
      </c>
      <c r="AD13" s="19">
        <f>-Parametres!$D$117*(1+Parametres!$D$47)^(AD$2-1)</f>
        <v>-19342.411200000002</v>
      </c>
      <c r="AE13" s="19">
        <f>-Parametres!$D$117*(1+Parametres!$D$47)^(AE$2-1)</f>
        <v>-19342.411200000002</v>
      </c>
      <c r="AF13" s="19">
        <f>-Parametres!$D$117*(1+Parametres!$D$47)^(AF$2-1)</f>
        <v>-19342.411200000002</v>
      </c>
      <c r="AG13" s="19">
        <f>-Parametres!$D$117*(1+Parametres!$D$47)^(AG$2-1)</f>
        <v>-19342.411200000002</v>
      </c>
      <c r="AH13" s="19">
        <f>-Parametres!$D$117*(1+Parametres!$D$47)^(AH$2-1)</f>
        <v>-19342.411200000002</v>
      </c>
      <c r="AI13" s="19">
        <f>-Parametres!$D$117*(1+Parametres!$D$47)^(AI$2-1)</f>
        <v>-19342.411200000002</v>
      </c>
      <c r="AJ13" s="19">
        <f>-Parametres!$D$117*(1+Parametres!$D$47)^(AJ$2-1)</f>
        <v>-19342.411200000002</v>
      </c>
      <c r="AK13" s="19">
        <f>-Parametres!$D$117*(1+Parametres!$D$47)^(AK$2-1)</f>
        <v>-19342.411200000002</v>
      </c>
    </row>
    <row r="14" spans="1:37" ht="15" customHeight="1" x14ac:dyDescent="0.2">
      <c r="A14" s="11" t="s">
        <v>253</v>
      </c>
      <c r="B14" s="19">
        <f>-Parametres!$D$118*(1+Parametres!$D$47)^(B$2-1)</f>
        <v>-30000</v>
      </c>
      <c r="C14" s="19">
        <f>-Parametres!$D$118*(1+Parametres!$D$47)^(C$2-1)</f>
        <v>-30000</v>
      </c>
      <c r="D14" s="19">
        <f>-Parametres!$D$118*(1+Parametres!$D$47)^(D$2-1)</f>
        <v>-30000</v>
      </c>
      <c r="E14" s="19">
        <f>-Parametres!$D$118*(1+Parametres!$D$47)^(E$2-1)</f>
        <v>-30000</v>
      </c>
      <c r="F14" s="19">
        <f>-Parametres!$D$118*(1+Parametres!$D$47)^(F$2-1)</f>
        <v>-30000</v>
      </c>
      <c r="G14" s="19">
        <f>-Parametres!$D$118*(1+Parametres!$D$47)^(G$2-1)</f>
        <v>-30000</v>
      </c>
      <c r="H14" s="19">
        <f>-Parametres!$D$118*(1+Parametres!$D$47)^(H$2-1)</f>
        <v>-30000</v>
      </c>
      <c r="I14" s="19">
        <f>-Parametres!$D$118*(1+Parametres!$D$47)^(I$2-1)</f>
        <v>-30000</v>
      </c>
      <c r="J14" s="19">
        <f>-Parametres!$D$118*(1+Parametres!$D$47)^(J$2-1)</f>
        <v>-30000</v>
      </c>
      <c r="K14" s="19">
        <f>-Parametres!$D$118*(1+Parametres!$D$47)^(K$2-1)</f>
        <v>-30000</v>
      </c>
      <c r="L14" s="19">
        <f>-Parametres!$D$118*(1+Parametres!$D$47)^(L$2-1)</f>
        <v>-30000</v>
      </c>
      <c r="M14" s="19">
        <f>-Parametres!$D$118*(1+Parametres!$D$47)^(M$2-1)</f>
        <v>-30000</v>
      </c>
      <c r="N14" s="19">
        <f>-Parametres!$D$118*(1+Parametres!$D$47)^(N$2-1)</f>
        <v>-32400.000000000004</v>
      </c>
      <c r="O14" s="19">
        <f>-Parametres!$D$118*(1+Parametres!$D$47)^(O$2-1)</f>
        <v>-32400.000000000004</v>
      </c>
      <c r="P14" s="19">
        <f>-Parametres!$D$118*(1+Parametres!$D$47)^(P$2-1)</f>
        <v>-32400.000000000004</v>
      </c>
      <c r="Q14" s="19">
        <f>-Parametres!$D$118*(1+Parametres!$D$47)^(Q$2-1)</f>
        <v>-32400.000000000004</v>
      </c>
      <c r="R14" s="19">
        <f>-Parametres!$D$118*(1+Parametres!$D$47)^(R$2-1)</f>
        <v>-32400.000000000004</v>
      </c>
      <c r="S14" s="19">
        <f>-Parametres!$D$118*(1+Parametres!$D$47)^(S$2-1)</f>
        <v>-32400.000000000004</v>
      </c>
      <c r="T14" s="19">
        <f>-Parametres!$D$118*(1+Parametres!$D$47)^(T$2-1)</f>
        <v>-32400.000000000004</v>
      </c>
      <c r="U14" s="19">
        <f>-Parametres!$D$118*(1+Parametres!$D$47)^(U$2-1)</f>
        <v>-32400.000000000004</v>
      </c>
      <c r="V14" s="19">
        <f>-Parametres!$D$118*(1+Parametres!$D$47)^(V$2-1)</f>
        <v>-32400.000000000004</v>
      </c>
      <c r="W14" s="19">
        <f>-Parametres!$D$118*(1+Parametres!$D$47)^(W$2-1)</f>
        <v>-32400.000000000004</v>
      </c>
      <c r="X14" s="19">
        <f>-Parametres!$D$118*(1+Parametres!$D$47)^(X$2-1)</f>
        <v>-32400.000000000004</v>
      </c>
      <c r="Y14" s="19">
        <f>-Parametres!$D$118*(1+Parametres!$D$47)^(Y$2-1)</f>
        <v>-32400.000000000004</v>
      </c>
      <c r="Z14" s="19">
        <f>-Parametres!$D$118*(1+Parametres!$D$47)^(Z$2-1)</f>
        <v>-34992</v>
      </c>
      <c r="AA14" s="19">
        <f>-Parametres!$D$118*(1+Parametres!$D$47)^(AA$2-1)</f>
        <v>-34992</v>
      </c>
      <c r="AB14" s="19">
        <f>-Parametres!$D$118*(1+Parametres!$D$47)^(AB$2-1)</f>
        <v>-34992</v>
      </c>
      <c r="AC14" s="19">
        <f>-Parametres!$D$118*(1+Parametres!$D$47)^(AC$2-1)</f>
        <v>-34992</v>
      </c>
      <c r="AD14" s="19">
        <f>-Parametres!$D$118*(1+Parametres!$D$47)^(AD$2-1)</f>
        <v>-34992</v>
      </c>
      <c r="AE14" s="19">
        <f>-Parametres!$D$118*(1+Parametres!$D$47)^(AE$2-1)</f>
        <v>-34992</v>
      </c>
      <c r="AF14" s="19">
        <f>-Parametres!$D$118*(1+Parametres!$D$47)^(AF$2-1)</f>
        <v>-34992</v>
      </c>
      <c r="AG14" s="19">
        <f>-Parametres!$D$118*(1+Parametres!$D$47)^(AG$2-1)</f>
        <v>-34992</v>
      </c>
      <c r="AH14" s="19">
        <f>-Parametres!$D$118*(1+Parametres!$D$47)^(AH$2-1)</f>
        <v>-34992</v>
      </c>
      <c r="AI14" s="19">
        <f>-Parametres!$D$118*(1+Parametres!$D$47)^(AI$2-1)</f>
        <v>-34992</v>
      </c>
      <c r="AJ14" s="19">
        <f>-Parametres!$D$118*(1+Parametres!$D$47)^(AJ$2-1)</f>
        <v>-34992</v>
      </c>
      <c r="AK14" s="19">
        <f>-Parametres!$D$118*(1+Parametres!$D$47)^(AK$2-1)</f>
        <v>-34992</v>
      </c>
    </row>
    <row r="15" spans="1:37" ht="15" customHeight="1" x14ac:dyDescent="0.2">
      <c r="A15" s="11" t="s">
        <v>255</v>
      </c>
      <c r="B15" s="19">
        <f>-Parametres!$D$119*(1+Parametres!$D$47)^(B$2-1)</f>
        <v>-10000</v>
      </c>
      <c r="C15" s="19">
        <f>-Parametres!$D$119*(1+Parametres!$D$47)^(C$2-1)</f>
        <v>-10000</v>
      </c>
      <c r="D15" s="19">
        <f>-Parametres!$D$119*(1+Parametres!$D$47)^(D$2-1)</f>
        <v>-10000</v>
      </c>
      <c r="E15" s="19">
        <f>-Parametres!$D$119*(1+Parametres!$D$47)^(E$2-1)</f>
        <v>-10000</v>
      </c>
      <c r="F15" s="19">
        <f>-Parametres!$D$119*(1+Parametres!$D$47)^(F$2-1)</f>
        <v>-10000</v>
      </c>
      <c r="G15" s="19">
        <f>-Parametres!$D$119*(1+Parametres!$D$47)^(G$2-1)</f>
        <v>-10000</v>
      </c>
      <c r="H15" s="19">
        <f>-Parametres!$D$119*(1+Parametres!$D$47)^(H$2-1)</f>
        <v>-10000</v>
      </c>
      <c r="I15" s="19">
        <f>-Parametres!$D$119*(1+Parametres!$D$47)^(I$2-1)</f>
        <v>-10000</v>
      </c>
      <c r="J15" s="19">
        <f>-Parametres!$D$119*(1+Parametres!$D$47)^(J$2-1)</f>
        <v>-10000</v>
      </c>
      <c r="K15" s="19">
        <f>-Parametres!$D$119*(1+Parametres!$D$47)^(K$2-1)</f>
        <v>-10000</v>
      </c>
      <c r="L15" s="19">
        <f>-Parametres!$D$119*(1+Parametres!$D$47)^(L$2-1)</f>
        <v>-10000</v>
      </c>
      <c r="M15" s="19">
        <f>-Parametres!$D$119*(1+Parametres!$D$47)^(M$2-1)</f>
        <v>-10000</v>
      </c>
      <c r="N15" s="19">
        <f>-Parametres!$D$119*(1+Parametres!$D$47)^(N$2-1)</f>
        <v>-10800</v>
      </c>
      <c r="O15" s="19">
        <f>-Parametres!$D$119*(1+Parametres!$D$47)^(O$2-1)</f>
        <v>-10800</v>
      </c>
      <c r="P15" s="19">
        <f>-Parametres!$D$119*(1+Parametres!$D$47)^(P$2-1)</f>
        <v>-10800</v>
      </c>
      <c r="Q15" s="19">
        <f>-Parametres!$D$119*(1+Parametres!$D$47)^(Q$2-1)</f>
        <v>-10800</v>
      </c>
      <c r="R15" s="19">
        <f>-Parametres!$D$119*(1+Parametres!$D$47)^(R$2-1)</f>
        <v>-10800</v>
      </c>
      <c r="S15" s="19">
        <f>-Parametres!$D$119*(1+Parametres!$D$47)^(S$2-1)</f>
        <v>-10800</v>
      </c>
      <c r="T15" s="19">
        <f>-Parametres!$D$119*(1+Parametres!$D$47)^(T$2-1)</f>
        <v>-10800</v>
      </c>
      <c r="U15" s="19">
        <f>-Parametres!$D$119*(1+Parametres!$D$47)^(U$2-1)</f>
        <v>-10800</v>
      </c>
      <c r="V15" s="19">
        <f>-Parametres!$D$119*(1+Parametres!$D$47)^(V$2-1)</f>
        <v>-10800</v>
      </c>
      <c r="W15" s="19">
        <f>-Parametres!$D$119*(1+Parametres!$D$47)^(W$2-1)</f>
        <v>-10800</v>
      </c>
      <c r="X15" s="19">
        <f>-Parametres!$D$119*(1+Parametres!$D$47)^(X$2-1)</f>
        <v>-10800</v>
      </c>
      <c r="Y15" s="19">
        <f>-Parametres!$D$119*(1+Parametres!$D$47)^(Y$2-1)</f>
        <v>-10800</v>
      </c>
      <c r="Z15" s="19">
        <f>-Parametres!$D$119*(1+Parametres!$D$47)^(Z$2-1)</f>
        <v>-11664.000000000002</v>
      </c>
      <c r="AA15" s="19">
        <f>-Parametres!$D$119*(1+Parametres!$D$47)^(AA$2-1)</f>
        <v>-11664.000000000002</v>
      </c>
      <c r="AB15" s="19">
        <f>-Parametres!$D$119*(1+Parametres!$D$47)^(AB$2-1)</f>
        <v>-11664.000000000002</v>
      </c>
      <c r="AC15" s="19">
        <f>-Parametres!$D$119*(1+Parametres!$D$47)^(AC$2-1)</f>
        <v>-11664.000000000002</v>
      </c>
      <c r="AD15" s="19">
        <f>-Parametres!$D$119*(1+Parametres!$D$47)^(AD$2-1)</f>
        <v>-11664.000000000002</v>
      </c>
      <c r="AE15" s="19">
        <f>-Parametres!$D$119*(1+Parametres!$D$47)^(AE$2-1)</f>
        <v>-11664.000000000002</v>
      </c>
      <c r="AF15" s="19">
        <f>-Parametres!$D$119*(1+Parametres!$D$47)^(AF$2-1)</f>
        <v>-11664.000000000002</v>
      </c>
      <c r="AG15" s="19">
        <f>-Parametres!$D$119*(1+Parametres!$D$47)^(AG$2-1)</f>
        <v>-11664.000000000002</v>
      </c>
      <c r="AH15" s="19">
        <f>-Parametres!$D$119*(1+Parametres!$D$47)^(AH$2-1)</f>
        <v>-11664.000000000002</v>
      </c>
      <c r="AI15" s="19">
        <f>-Parametres!$D$119*(1+Parametres!$D$47)^(AI$2-1)</f>
        <v>-11664.000000000002</v>
      </c>
      <c r="AJ15" s="19">
        <f>-Parametres!$D$119*(1+Parametres!$D$47)^(AJ$2-1)</f>
        <v>-11664.000000000002</v>
      </c>
      <c r="AK15" s="19">
        <f>-Parametres!$D$119*(1+Parametres!$D$47)^(AK$2-1)</f>
        <v>-11664.000000000002</v>
      </c>
    </row>
    <row r="16" spans="1:37" ht="15" customHeight="1" x14ac:dyDescent="0.2">
      <c r="A16" s="11" t="s">
        <v>409</v>
      </c>
      <c r="B16" s="101">
        <f>-(Parametres!$D$120*(1+Parametres!$D$47)^(B$2-1)+'Plan ventes'!B6)</f>
        <v>-500000</v>
      </c>
      <c r="C16" s="101">
        <f>-(Parametres!$D$120*(1+Parametres!$D$47)^(C$2-1)+'Plan ventes'!C6)</f>
        <v>-500000</v>
      </c>
      <c r="D16" s="101">
        <f>-(Parametres!$D$120*(1+Parametres!$D$47)^(D$2-1)+'Plan ventes'!D6)</f>
        <v>-500000</v>
      </c>
      <c r="E16" s="101">
        <f>-(Parametres!$D$120*(1+Parametres!$D$47)^(E$2-1)+'Plan ventes'!E6)</f>
        <v>-500000</v>
      </c>
      <c r="F16" s="101">
        <f>-(Parametres!$D$120*(1+Parametres!$D$47)^(F$2-1)+'Plan ventes'!F6)</f>
        <v>-500000</v>
      </c>
      <c r="G16" s="101">
        <f>-(Parametres!$D$120*(1+Parametres!$D$47)^(G$2-1)+'Plan ventes'!G6)</f>
        <v>-500000</v>
      </c>
      <c r="H16" s="101">
        <f>-(Parametres!$D$120*(1+Parametres!$D$47)^(H$2-1)+'Plan ventes'!H6)</f>
        <v>-500000</v>
      </c>
      <c r="I16" s="101">
        <f>-(Parametres!$D$120*(1+Parametres!$D$47)^(I$2-1)+'Plan ventes'!I6)</f>
        <v>-500000</v>
      </c>
      <c r="J16" s="101">
        <f>-(Parametres!$D$120*(1+Parametres!$D$47)^(J$2-1)+'Plan ventes'!J6)</f>
        <v>-500000</v>
      </c>
      <c r="K16" s="101">
        <f>-(Parametres!$D$120*(1+Parametres!$D$47)^(K$2-1)+'Plan ventes'!K6)</f>
        <v>-500000</v>
      </c>
      <c r="L16" s="101">
        <f>-(Parametres!$D$120*(1+Parametres!$D$47)^(L$2-1)+'Plan ventes'!L6)</f>
        <v>-500000</v>
      </c>
      <c r="M16" s="101">
        <f>-(Parametres!$D$120*(1+Parametres!$D$47)^(M$2-1)+'Plan ventes'!M6)</f>
        <v>-500000</v>
      </c>
      <c r="N16" s="101">
        <f>-(Parametres!$D$120*(1+Parametres!$D$47)^(N$2-1)+'Plan ventes'!N6)</f>
        <v>-608000</v>
      </c>
      <c r="O16" s="101">
        <f>-(Parametres!$D$120*(1+Parametres!$D$47)^(O$2-1)+'Plan ventes'!O6)</f>
        <v>-608000</v>
      </c>
      <c r="P16" s="101">
        <f>-(Parametres!$D$120*(1+Parametres!$D$47)^(P$2-1)+'Plan ventes'!P6)</f>
        <v>-608000</v>
      </c>
      <c r="Q16" s="101">
        <f>-(Parametres!$D$120*(1+Parametres!$D$47)^(Q$2-1)+'Plan ventes'!Q6)</f>
        <v>-608000</v>
      </c>
      <c r="R16" s="101">
        <f>-(Parametres!$D$120*(1+Parametres!$D$47)^(R$2-1)+'Plan ventes'!R6)</f>
        <v>-608000</v>
      </c>
      <c r="S16" s="101">
        <f>-(Parametres!$D$120*(1+Parametres!$D$47)^(S$2-1)+'Plan ventes'!S6)</f>
        <v>-608000</v>
      </c>
      <c r="T16" s="101">
        <f>-(Parametres!$D$120*(1+Parametres!$D$47)^(T$2-1)+'Plan ventes'!T6)</f>
        <v>-608000</v>
      </c>
      <c r="U16" s="101">
        <f>-(Parametres!$D$120*(1+Parametres!$D$47)^(U$2-1)+'Plan ventes'!U6)</f>
        <v>-608000</v>
      </c>
      <c r="V16" s="101">
        <f>-(Parametres!$D$120*(1+Parametres!$D$47)^(V$2-1)+'Plan ventes'!V6)</f>
        <v>-608000</v>
      </c>
      <c r="W16" s="101">
        <f>-(Parametres!$D$120*(1+Parametres!$D$47)^(W$2-1)+'Plan ventes'!W6)</f>
        <v>-608000</v>
      </c>
      <c r="X16" s="101">
        <f>-(Parametres!$D$120*(1+Parametres!$D$47)^(X$2-1)+'Plan ventes'!X6)</f>
        <v>-608000</v>
      </c>
      <c r="Y16" s="101">
        <f>-(Parametres!$D$120*(1+Parametres!$D$47)^(Y$2-1)+'Plan ventes'!Y6)</f>
        <v>-608000</v>
      </c>
      <c r="Z16" s="101">
        <f>-(Parametres!$D$120*(1+Parametres!$D$47)^(Z$2-1)+'Plan ventes'!Z6)</f>
        <v>-716640</v>
      </c>
      <c r="AA16" s="101">
        <f>-(Parametres!$D$120*(1+Parametres!$D$47)^(AA$2-1)+'Plan ventes'!AA6)</f>
        <v>-716640</v>
      </c>
      <c r="AB16" s="101">
        <f>-(Parametres!$D$120*(1+Parametres!$D$47)^(AB$2-1)+'Plan ventes'!AB6)</f>
        <v>-716640</v>
      </c>
      <c r="AC16" s="101">
        <f>-(Parametres!$D$120*(1+Parametres!$D$47)^(AC$2-1)+'Plan ventes'!AC6)</f>
        <v>-716640</v>
      </c>
      <c r="AD16" s="101">
        <f>-(Parametres!$D$120*(1+Parametres!$D$47)^(AD$2-1)+'Plan ventes'!AD6)</f>
        <v>-716640</v>
      </c>
      <c r="AE16" s="101">
        <f>-(Parametres!$D$120*(1+Parametres!$D$47)^(AE$2-1)+'Plan ventes'!AE6)</f>
        <v>-716640</v>
      </c>
      <c r="AF16" s="101">
        <f>-(Parametres!$D$120*(1+Parametres!$D$47)^(AF$2-1)+'Plan ventes'!AF6)</f>
        <v>-716640</v>
      </c>
      <c r="AG16" s="101">
        <f>-(Parametres!$D$120*(1+Parametres!$D$47)^(AG$2-1)+'Plan ventes'!AG6)</f>
        <v>-716640</v>
      </c>
      <c r="AH16" s="101">
        <f>-(Parametres!$D$120*(1+Parametres!$D$47)^(AH$2-1)+'Plan ventes'!AH6)</f>
        <v>-716640</v>
      </c>
      <c r="AI16" s="101">
        <f>-(Parametres!$D$120*(1+Parametres!$D$47)^(AI$2-1)+'Plan ventes'!AI6)</f>
        <v>-716640</v>
      </c>
      <c r="AJ16" s="101">
        <f>-(Parametres!$D$120*(1+Parametres!$D$47)^(AJ$2-1)+'Plan ventes'!AJ6)</f>
        <v>-716640</v>
      </c>
      <c r="AK16" s="101">
        <f>-(Parametres!$D$120*(1+Parametres!$D$47)^(AK$2-1)+'Plan ventes'!AK6)</f>
        <v>-716640</v>
      </c>
    </row>
    <row r="17" spans="1:37" ht="15" customHeight="1" x14ac:dyDescent="0.2">
      <c r="A17" s="17" t="s">
        <v>410</v>
      </c>
      <c r="B17" s="21">
        <f t="shared" ref="B17:AK17" si="2">SUM(B11:B16)</f>
        <v>-2805583</v>
      </c>
      <c r="C17" s="21">
        <f t="shared" si="2"/>
        <v>-2805583</v>
      </c>
      <c r="D17" s="21">
        <f t="shared" si="2"/>
        <v>-2805583</v>
      </c>
      <c r="E17" s="21">
        <f t="shared" si="2"/>
        <v>-2805583</v>
      </c>
      <c r="F17" s="21">
        <f t="shared" si="2"/>
        <v>-2805583</v>
      </c>
      <c r="G17" s="21">
        <f t="shared" si="2"/>
        <v>-2805583</v>
      </c>
      <c r="H17" s="21">
        <f t="shared" si="2"/>
        <v>-2805583</v>
      </c>
      <c r="I17" s="21">
        <f t="shared" si="2"/>
        <v>-2805583</v>
      </c>
      <c r="J17" s="21">
        <f t="shared" si="2"/>
        <v>-2805583</v>
      </c>
      <c r="K17" s="21">
        <f t="shared" si="2"/>
        <v>-2805583</v>
      </c>
      <c r="L17" s="21">
        <f t="shared" si="2"/>
        <v>-2805583</v>
      </c>
      <c r="M17" s="21">
        <f t="shared" si="2"/>
        <v>-2805583</v>
      </c>
      <c r="N17" s="21">
        <f t="shared" si="2"/>
        <v>-3098029.64</v>
      </c>
      <c r="O17" s="21">
        <f t="shared" si="2"/>
        <v>-3098029.64</v>
      </c>
      <c r="P17" s="21">
        <f t="shared" si="2"/>
        <v>-3098029.64</v>
      </c>
      <c r="Q17" s="21">
        <f t="shared" si="2"/>
        <v>-3098029.64</v>
      </c>
      <c r="R17" s="21">
        <f t="shared" si="2"/>
        <v>-3098029.64</v>
      </c>
      <c r="S17" s="21">
        <f t="shared" si="2"/>
        <v>-3098029.64</v>
      </c>
      <c r="T17" s="21">
        <f t="shared" si="2"/>
        <v>-3098029.64</v>
      </c>
      <c r="U17" s="21">
        <f t="shared" si="2"/>
        <v>-3098029.64</v>
      </c>
      <c r="V17" s="21">
        <f t="shared" si="2"/>
        <v>-3098029.64</v>
      </c>
      <c r="W17" s="21">
        <f t="shared" si="2"/>
        <v>-3098029.64</v>
      </c>
      <c r="X17" s="21">
        <f t="shared" si="2"/>
        <v>-3098029.64</v>
      </c>
      <c r="Y17" s="21">
        <f t="shared" si="2"/>
        <v>-3098029.64</v>
      </c>
      <c r="Z17" s="21">
        <f t="shared" si="2"/>
        <v>-3956412.8112000003</v>
      </c>
      <c r="AA17" s="21">
        <f t="shared" si="2"/>
        <v>-3956412.8112000003</v>
      </c>
      <c r="AB17" s="21">
        <f t="shared" si="2"/>
        <v>-3956412.8112000003</v>
      </c>
      <c r="AC17" s="21">
        <f t="shared" si="2"/>
        <v>-3956412.8112000003</v>
      </c>
      <c r="AD17" s="21">
        <f t="shared" si="2"/>
        <v>-3956412.8112000003</v>
      </c>
      <c r="AE17" s="21">
        <f t="shared" si="2"/>
        <v>-3956412.8112000003</v>
      </c>
      <c r="AF17" s="21">
        <f t="shared" si="2"/>
        <v>-3956412.8112000003</v>
      </c>
      <c r="AG17" s="21">
        <f t="shared" si="2"/>
        <v>-3956412.8112000003</v>
      </c>
      <c r="AH17" s="21">
        <f t="shared" si="2"/>
        <v>-3956412.8112000003</v>
      </c>
      <c r="AI17" s="21">
        <f t="shared" si="2"/>
        <v>-3956412.8112000003</v>
      </c>
      <c r="AJ17" s="21">
        <f t="shared" si="2"/>
        <v>-3956412.8112000003</v>
      </c>
      <c r="AK17" s="21">
        <f t="shared" si="2"/>
        <v>-3956412.8112000003</v>
      </c>
    </row>
    <row r="18" spans="1:37" ht="15" customHeight="1" x14ac:dyDescent="0.2">
      <c r="A18" s="17" t="s">
        <v>411</v>
      </c>
      <c r="B18" s="21">
        <f t="shared" ref="B18:AK18" si="3">B8+B17</f>
        <v>-1829596.54</v>
      </c>
      <c r="C18" s="21">
        <f t="shared" si="3"/>
        <v>-1645726.6006</v>
      </c>
      <c r="D18" s="21">
        <f t="shared" si="3"/>
        <v>-1588368.0424840001</v>
      </c>
      <c r="E18" s="21">
        <f t="shared" si="3"/>
        <v>-1528610.0617968098</v>
      </c>
      <c r="F18" s="21">
        <f t="shared" si="3"/>
        <v>-1466321.7152006479</v>
      </c>
      <c r="G18" s="21">
        <f t="shared" si="3"/>
        <v>-1401365.9020504868</v>
      </c>
      <c r="H18" s="21">
        <f t="shared" si="3"/>
        <v>-1274475.5190153467</v>
      </c>
      <c r="I18" s="21">
        <f t="shared" si="3"/>
        <v>-1202564.7636363255</v>
      </c>
      <c r="J18" s="21">
        <f t="shared" si="3"/>
        <v>-1127511.3841526161</v>
      </c>
      <c r="K18" s="21">
        <f t="shared" si="3"/>
        <v>-1049149.8342476182</v>
      </c>
      <c r="L18" s="21">
        <f t="shared" si="3"/>
        <v>-967306.64511815179</v>
      </c>
      <c r="M18" s="21">
        <f t="shared" si="3"/>
        <v>-881800.02073061862</v>
      </c>
      <c r="N18" s="21">
        <f t="shared" si="3"/>
        <v>-924499.00139927678</v>
      </c>
      <c r="O18" s="21">
        <f t="shared" si="3"/>
        <v>-833661.34578413842</v>
      </c>
      <c r="P18" s="21">
        <f t="shared" si="3"/>
        <v>-738813.56980229588</v>
      </c>
      <c r="Q18" s="21">
        <f t="shared" si="3"/>
        <v>-640124.34430834092</v>
      </c>
      <c r="R18" s="21">
        <f t="shared" si="3"/>
        <v>-537415.90662945667</v>
      </c>
      <c r="S18" s="21">
        <f t="shared" si="3"/>
        <v>-430502.85709426459</v>
      </c>
      <c r="T18" s="21">
        <f t="shared" si="3"/>
        <v>-319191.81106784148</v>
      </c>
      <c r="U18" s="21">
        <f t="shared" si="3"/>
        <v>-203281.0356833688</v>
      </c>
      <c r="V18" s="21">
        <f t="shared" si="3"/>
        <v>-82560.070579728577</v>
      </c>
      <c r="W18" s="21">
        <f t="shared" si="3"/>
        <v>43190.668076299131</v>
      </c>
      <c r="X18" s="21">
        <f t="shared" si="3"/>
        <v>174200.30103666056</v>
      </c>
      <c r="Y18" s="21">
        <f t="shared" si="3"/>
        <v>310707.91767433845</v>
      </c>
      <c r="Z18" s="21">
        <f t="shared" si="3"/>
        <v>-135153.12515946524</v>
      </c>
      <c r="AA18" s="21">
        <f t="shared" si="3"/>
        <v>-6591.7922201622277</v>
      </c>
      <c r="AB18" s="21">
        <f t="shared" si="3"/>
        <v>144555.43286140682</v>
      </c>
      <c r="AC18" s="21">
        <f t="shared" si="3"/>
        <v>300083.35188056622</v>
      </c>
      <c r="AD18" s="21">
        <f t="shared" si="3"/>
        <v>460182.43998095207</v>
      </c>
      <c r="AE18" s="21">
        <f t="shared" si="3"/>
        <v>625049.14520114008</v>
      </c>
      <c r="AF18" s="21">
        <f t="shared" si="3"/>
        <v>794886.13525464013</v>
      </c>
      <c r="AG18" s="21">
        <f t="shared" si="3"/>
        <v>969902.55247292668</v>
      </c>
      <c r="AH18" s="21">
        <f t="shared" si="3"/>
        <v>1150314.2772364412</v>
      </c>
      <c r="AI18" s="21">
        <f t="shared" si="3"/>
        <v>1336344.2002297034</v>
      </c>
      <c r="AJ18" s="21">
        <f t="shared" si="3"/>
        <v>1528222.5038682474</v>
      </c>
      <c r="AK18" s="21">
        <f t="shared" si="3"/>
        <v>1726186.9532570345</v>
      </c>
    </row>
    <row r="19" spans="1:37" ht="15" customHeight="1" x14ac:dyDescent="0.2">
      <c r="A19" s="11" t="s">
        <v>412</v>
      </c>
      <c r="B19" s="22">
        <f t="shared" ref="B19:AK19" si="4">IF(B5=0,0,B18/B5)</f>
        <v>-1.311820850362085</v>
      </c>
      <c r="C19" s="22">
        <f t="shared" si="4"/>
        <v>-1.1307817022112154</v>
      </c>
      <c r="D19" s="22">
        <f t="shared" si="4"/>
        <v>-1.0460407395987517</v>
      </c>
      <c r="E19" s="22">
        <f t="shared" si="4"/>
        <v>-0.96501099546556357</v>
      </c>
      <c r="F19" s="22">
        <f t="shared" si="4"/>
        <v>-0.88746856164085441</v>
      </c>
      <c r="G19" s="22">
        <f t="shared" si="4"/>
        <v>-0.8132103340087099</v>
      </c>
      <c r="H19" s="22">
        <f t="shared" si="4"/>
        <v>-0.68656689246818048</v>
      </c>
      <c r="I19" s="22">
        <f t="shared" si="4"/>
        <v>-0.62164360299611765</v>
      </c>
      <c r="J19" s="22">
        <f t="shared" si="4"/>
        <v>-0.55929604096022723</v>
      </c>
      <c r="K19" s="22">
        <f t="shared" si="4"/>
        <v>-0.49939641969007537</v>
      </c>
      <c r="L19" s="22">
        <f t="shared" si="4"/>
        <v>-0.44182693975477672</v>
      </c>
      <c r="M19" s="22">
        <f t="shared" si="4"/>
        <v>-0.38647870226918046</v>
      </c>
      <c r="N19" s="22">
        <f t="shared" si="4"/>
        <v>-0.36249921779765987</v>
      </c>
      <c r="O19" s="22">
        <f t="shared" si="4"/>
        <v>-0.31464747252761849</v>
      </c>
      <c r="P19" s="22">
        <f t="shared" si="4"/>
        <v>-0.26841409547542172</v>
      </c>
      <c r="Q19" s="22">
        <f t="shared" si="4"/>
        <v>-0.22385593574333457</v>
      </c>
      <c r="R19" s="22">
        <f t="shared" si="4"/>
        <v>-0.18090181327199342</v>
      </c>
      <c r="S19" s="22">
        <f t="shared" si="4"/>
        <v>-0.13948502641115917</v>
      </c>
      <c r="T19" s="22">
        <f t="shared" si="4"/>
        <v>-9.9542937261480571E-2</v>
      </c>
      <c r="U19" s="22">
        <f t="shared" si="4"/>
        <v>-6.101660254525039E-2</v>
      </c>
      <c r="V19" s="22">
        <f t="shared" si="4"/>
        <v>-2.385044460958707E-2</v>
      </c>
      <c r="W19" s="22">
        <f t="shared" si="4"/>
        <v>1.2008042135944154E-2</v>
      </c>
      <c r="X19" s="22">
        <f t="shared" si="4"/>
        <v>4.6608553447672153E-2</v>
      </c>
      <c r="Y19" s="22">
        <f t="shared" si="4"/>
        <v>7.9998209729689351E-2</v>
      </c>
      <c r="Z19" s="22">
        <f t="shared" si="4"/>
        <v>-3.1262739751087024E-2</v>
      </c>
      <c r="AA19" s="22">
        <f t="shared" si="4"/>
        <v>-1.4706715569090545E-3</v>
      </c>
      <c r="AB19" s="22">
        <f t="shared" si="4"/>
        <v>3.1116269164717707E-2</v>
      </c>
      <c r="AC19" s="22">
        <f t="shared" si="4"/>
        <v>6.2338159653275341E-2</v>
      </c>
      <c r="AD19" s="22">
        <f t="shared" si="4"/>
        <v>9.2280186768949585E-2</v>
      </c>
      <c r="AE19" s="22">
        <f t="shared" si="4"/>
        <v>0.12101981402466956</v>
      </c>
      <c r="AF19" s="22">
        <f t="shared" si="4"/>
        <v>0.14862765529042241</v>
      </c>
      <c r="AG19" s="22">
        <f t="shared" si="4"/>
        <v>0.17516823454065381</v>
      </c>
      <c r="AH19" s="22">
        <f t="shared" si="4"/>
        <v>0.20070064847266142</v>
      </c>
      <c r="AI19" s="22">
        <f t="shared" si="4"/>
        <v>0.22527914603883828</v>
      </c>
      <c r="AJ19" s="22">
        <f t="shared" si="4"/>
        <v>0.24895363665971815</v>
      </c>
      <c r="AK19" s="22">
        <f t="shared" si="4"/>
        <v>0.27177013701661756</v>
      </c>
    </row>
    <row r="20" spans="1:37" ht="15" customHeight="1" x14ac:dyDescent="0.2">
      <c r="A20" s="11" t="s">
        <v>413</v>
      </c>
      <c r="B20" s="19">
        <f>-Amortissements!$H$6</f>
        <v>-81666.666666666672</v>
      </c>
      <c r="C20" s="19">
        <f>-Amortissements!$H$6</f>
        <v>-81666.666666666672</v>
      </c>
      <c r="D20" s="19">
        <f>-Amortissements!$H$6</f>
        <v>-81666.666666666672</v>
      </c>
      <c r="E20" s="19">
        <f>-Amortissements!$H$6</f>
        <v>-81666.666666666672</v>
      </c>
      <c r="F20" s="19">
        <f>-Amortissements!$H$6</f>
        <v>-81666.666666666672</v>
      </c>
      <c r="G20" s="19">
        <f>-Amortissements!$H$6</f>
        <v>-81666.666666666672</v>
      </c>
      <c r="H20" s="19">
        <f>-Amortissements!$H$6</f>
        <v>-81666.666666666672</v>
      </c>
      <c r="I20" s="19">
        <f>-Amortissements!$H$6</f>
        <v>-81666.666666666672</v>
      </c>
      <c r="J20" s="19">
        <f>-Amortissements!$H$6</f>
        <v>-81666.666666666672</v>
      </c>
      <c r="K20" s="19">
        <f>-Amortissements!$H$6</f>
        <v>-81666.666666666672</v>
      </c>
      <c r="L20" s="19">
        <f>-Amortissements!$H$6</f>
        <v>-81666.666666666672</v>
      </c>
      <c r="M20" s="19">
        <f>-Amortissements!$H$6</f>
        <v>-81666.666666666672</v>
      </c>
      <c r="N20" s="19">
        <f>-Amortissements!$H$6</f>
        <v>-81666.666666666672</v>
      </c>
      <c r="O20" s="19">
        <f>-Amortissements!$H$6</f>
        <v>-81666.666666666672</v>
      </c>
      <c r="P20" s="19">
        <f>-Amortissements!$H$6</f>
        <v>-81666.666666666672</v>
      </c>
      <c r="Q20" s="19">
        <f>-Amortissements!$H$6</f>
        <v>-81666.666666666672</v>
      </c>
      <c r="R20" s="19">
        <f>-Amortissements!$H$6</f>
        <v>-81666.666666666672</v>
      </c>
      <c r="S20" s="19">
        <f>-Amortissements!$H$6</f>
        <v>-81666.666666666672</v>
      </c>
      <c r="T20" s="19">
        <f>-Amortissements!$H$6</f>
        <v>-81666.666666666672</v>
      </c>
      <c r="U20" s="19">
        <f>-Amortissements!$H$6</f>
        <v>-81666.666666666672</v>
      </c>
      <c r="V20" s="19">
        <f>-Amortissements!$H$6</f>
        <v>-81666.666666666672</v>
      </c>
      <c r="W20" s="19">
        <f>-Amortissements!$H$6</f>
        <v>-81666.666666666672</v>
      </c>
      <c r="X20" s="19">
        <f>-Amortissements!$H$6</f>
        <v>-81666.666666666672</v>
      </c>
      <c r="Y20" s="19">
        <f>-Amortissements!$H$6</f>
        <v>-81666.666666666672</v>
      </c>
      <c r="Z20" s="19">
        <f>-Amortissements!$H$6</f>
        <v>-81666.666666666672</v>
      </c>
      <c r="AA20" s="19">
        <f>-Amortissements!$H$6</f>
        <v>-81666.666666666672</v>
      </c>
      <c r="AB20" s="19">
        <f>-Amortissements!$H$6</f>
        <v>-81666.666666666672</v>
      </c>
      <c r="AC20" s="19">
        <f>-Amortissements!$H$6</f>
        <v>-81666.666666666672</v>
      </c>
      <c r="AD20" s="19">
        <f>-Amortissements!$H$6</f>
        <v>-81666.666666666672</v>
      </c>
      <c r="AE20" s="19">
        <f>-Amortissements!$H$6</f>
        <v>-81666.666666666672</v>
      </c>
      <c r="AF20" s="19">
        <f>-Amortissements!$H$6</f>
        <v>-81666.666666666672</v>
      </c>
      <c r="AG20" s="19">
        <f>-Amortissements!$H$6</f>
        <v>-81666.666666666672</v>
      </c>
      <c r="AH20" s="19">
        <f>-Amortissements!$H$6</f>
        <v>-81666.666666666672</v>
      </c>
      <c r="AI20" s="19">
        <f>-Amortissements!$H$6</f>
        <v>-81666.666666666672</v>
      </c>
      <c r="AJ20" s="19">
        <f>-Amortissements!$H$6</f>
        <v>-81666.666666666672</v>
      </c>
      <c r="AK20" s="19">
        <f>-Amortissements!$H$6</f>
        <v>-81666.666666666672</v>
      </c>
    </row>
    <row r="21" spans="1:37" ht="15" customHeight="1" x14ac:dyDescent="0.2">
      <c r="A21" s="17" t="s">
        <v>414</v>
      </c>
      <c r="B21" s="21">
        <f t="shared" ref="B21:AK21" si="5">B18+B20</f>
        <v>-1911263.2066666668</v>
      </c>
      <c r="C21" s="21">
        <f t="shared" si="5"/>
        <v>-1727393.2672666667</v>
      </c>
      <c r="D21" s="21">
        <f t="shared" si="5"/>
        <v>-1670034.7091506668</v>
      </c>
      <c r="E21" s="21">
        <f t="shared" si="5"/>
        <v>-1610276.7284634765</v>
      </c>
      <c r="F21" s="21">
        <f t="shared" si="5"/>
        <v>-1547988.3818673147</v>
      </c>
      <c r="G21" s="21">
        <f t="shared" si="5"/>
        <v>-1483032.5687171535</v>
      </c>
      <c r="H21" s="21">
        <f t="shared" si="5"/>
        <v>-1356142.1856820134</v>
      </c>
      <c r="I21" s="21">
        <f t="shared" si="5"/>
        <v>-1284231.4303029922</v>
      </c>
      <c r="J21" s="21">
        <f t="shared" si="5"/>
        <v>-1209178.0508192829</v>
      </c>
      <c r="K21" s="21">
        <f t="shared" si="5"/>
        <v>-1130816.500914285</v>
      </c>
      <c r="L21" s="21">
        <f t="shared" si="5"/>
        <v>-1048973.3117848185</v>
      </c>
      <c r="M21" s="21">
        <f t="shared" si="5"/>
        <v>-963466.68739728525</v>
      </c>
      <c r="N21" s="21">
        <f t="shared" si="5"/>
        <v>-1006165.6680659434</v>
      </c>
      <c r="O21" s="21">
        <f t="shared" si="5"/>
        <v>-915328.01245080505</v>
      </c>
      <c r="P21" s="21">
        <f t="shared" si="5"/>
        <v>-820480.23646896251</v>
      </c>
      <c r="Q21" s="21">
        <f t="shared" si="5"/>
        <v>-721791.01097500755</v>
      </c>
      <c r="R21" s="21">
        <f t="shared" si="5"/>
        <v>-619082.5732961233</v>
      </c>
      <c r="S21" s="21">
        <f t="shared" si="5"/>
        <v>-512169.52376093128</v>
      </c>
      <c r="T21" s="21">
        <f t="shared" si="5"/>
        <v>-400858.47773450817</v>
      </c>
      <c r="U21" s="21">
        <f t="shared" si="5"/>
        <v>-284947.70235003548</v>
      </c>
      <c r="V21" s="21">
        <f t="shared" si="5"/>
        <v>-164226.73724639526</v>
      </c>
      <c r="W21" s="21">
        <f t="shared" si="5"/>
        <v>-38475.998590367541</v>
      </c>
      <c r="X21" s="21">
        <f t="shared" si="5"/>
        <v>92533.634369993888</v>
      </c>
      <c r="Y21" s="21">
        <f t="shared" si="5"/>
        <v>229041.25100767176</v>
      </c>
      <c r="Z21" s="21">
        <f t="shared" si="5"/>
        <v>-216819.79182613193</v>
      </c>
      <c r="AA21" s="21">
        <f t="shared" si="5"/>
        <v>-88258.458886828899</v>
      </c>
      <c r="AB21" s="21">
        <f t="shared" si="5"/>
        <v>62888.76619474015</v>
      </c>
      <c r="AC21" s="21">
        <f t="shared" si="5"/>
        <v>218416.68521389953</v>
      </c>
      <c r="AD21" s="21">
        <f t="shared" si="5"/>
        <v>378515.77331428538</v>
      </c>
      <c r="AE21" s="21">
        <f t="shared" si="5"/>
        <v>543382.47853447346</v>
      </c>
      <c r="AF21" s="21">
        <f t="shared" si="5"/>
        <v>713219.4685879735</v>
      </c>
      <c r="AG21" s="21">
        <f t="shared" si="5"/>
        <v>888235.88580626005</v>
      </c>
      <c r="AH21" s="21">
        <f t="shared" si="5"/>
        <v>1068647.6105697744</v>
      </c>
      <c r="AI21" s="21">
        <f t="shared" si="5"/>
        <v>1254677.5335630367</v>
      </c>
      <c r="AJ21" s="21">
        <f t="shared" si="5"/>
        <v>1446555.8372015806</v>
      </c>
      <c r="AK21" s="21">
        <f t="shared" si="5"/>
        <v>1644520.2865903678</v>
      </c>
    </row>
    <row r="22" spans="1:37" ht="15" customHeight="1" x14ac:dyDescent="0.2">
      <c r="A22" s="11" t="s">
        <v>415</v>
      </c>
      <c r="B22" s="19">
        <f>-Financement!C32</f>
        <v>-322562.30610000005</v>
      </c>
      <c r="C22" s="19">
        <f>-Financement!D32</f>
        <v>-318285.66046309425</v>
      </c>
      <c r="D22" s="19">
        <f>-Financement!E32</f>
        <v>-313976.93998391175</v>
      </c>
      <c r="E22" s="19">
        <f>-Financement!F32</f>
        <v>-309635.90410113533</v>
      </c>
      <c r="F22" s="19">
        <f>-Financement!G32</f>
        <v>-305262.31044923817</v>
      </c>
      <c r="G22" s="19">
        <f>-Financement!H32</f>
        <v>-300855.91484495171</v>
      </c>
      <c r="H22" s="19">
        <f>-Financement!I32</f>
        <v>-296416.47127363307</v>
      </c>
      <c r="I22" s="19">
        <f>-Financement!J32</f>
        <v>-291943.73187552957</v>
      </c>
      <c r="J22" s="19">
        <f>-Financement!K32</f>
        <v>-287437.44693194039</v>
      </c>
      <c r="K22" s="19">
        <f>-Financement!L32</f>
        <v>-282897.36485127418</v>
      </c>
      <c r="L22" s="19">
        <f>-Financement!M32</f>
        <v>-278323.23215500294</v>
      </c>
      <c r="M22" s="19">
        <f>-Financement!N32</f>
        <v>-273714.79346350982</v>
      </c>
      <c r="N22" s="19">
        <f>-Financement!O32</f>
        <v>-269071.7914818303</v>
      </c>
      <c r="O22" s="19">
        <f>-Financement!P32</f>
        <v>-264393.96698528837</v>
      </c>
      <c r="P22" s="19">
        <f>-Financement!Q32</f>
        <v>-259681.05880502224</v>
      </c>
      <c r="Q22" s="19">
        <f>-Financement!R32</f>
        <v>-254932.80381340417</v>
      </c>
      <c r="R22" s="19">
        <f>-Financement!S32</f>
        <v>-250148.93690934897</v>
      </c>
      <c r="S22" s="19">
        <f>-Financement!T32</f>
        <v>-245329.19100351338</v>
      </c>
      <c r="T22" s="19">
        <f>-Financement!U32</f>
        <v>-240473.29700338395</v>
      </c>
      <c r="U22" s="19">
        <f>-Financement!V32</f>
        <v>-235580.98379825364</v>
      </c>
      <c r="V22" s="19">
        <f>-Financement!W32</f>
        <v>-230651.97824408475</v>
      </c>
      <c r="W22" s="19">
        <f>-Financement!X32</f>
        <v>-225686.00514825969</v>
      </c>
      <c r="X22" s="19">
        <f>-Financement!Y32</f>
        <v>-220682.78725421589</v>
      </c>
      <c r="Y22" s="19">
        <f>-Financement!Z32</f>
        <v>-215642.04522596678</v>
      </c>
      <c r="Z22" s="19">
        <f>-Financement!AA32</f>
        <v>-210563.49763250578</v>
      </c>
      <c r="AA22" s="19">
        <f>-Financement!AB32</f>
        <v>-205446.86093209384</v>
      </c>
      <c r="AB22" s="19">
        <f>-Financement!AC32</f>
        <v>-200291.84945642878</v>
      </c>
      <c r="AC22" s="19">
        <f>-Financement!AD32</f>
        <v>-195098.1753946963</v>
      </c>
      <c r="AD22" s="19">
        <f>-Financement!AE32</f>
        <v>-189865.54877750078</v>
      </c>
      <c r="AE22" s="19">
        <f>-Financement!AF32</f>
        <v>-184593.67746067629</v>
      </c>
      <c r="AF22" s="19">
        <f>-Financement!AG32</f>
        <v>-179282.26710897562</v>
      </c>
      <c r="AG22" s="19">
        <f>-Financement!AH32</f>
        <v>-173931.02117963717</v>
      </c>
      <c r="AH22" s="19">
        <f>-Financement!AI32</f>
        <v>-168539.64090582874</v>
      </c>
      <c r="AI22" s="19">
        <f>-Financement!AJ32</f>
        <v>-163107.8252799667</v>
      </c>
      <c r="AJ22" s="19">
        <f>-Financement!AK32</f>
        <v>-157635.27103691074</v>
      </c>
      <c r="AK22" s="19">
        <f>-Financement!AL32</f>
        <v>-152121.67263703179</v>
      </c>
    </row>
    <row r="23" spans="1:37" ht="15" customHeight="1" x14ac:dyDescent="0.2">
      <c r="A23" s="17" t="s">
        <v>416</v>
      </c>
      <c r="B23" s="21">
        <f t="shared" ref="B23:AK23" si="6">B21+B22</f>
        <v>-2233825.5127666667</v>
      </c>
      <c r="C23" s="21">
        <f t="shared" si="6"/>
        <v>-2045678.927729761</v>
      </c>
      <c r="D23" s="21">
        <f t="shared" si="6"/>
        <v>-1984011.6491345786</v>
      </c>
      <c r="E23" s="21">
        <f t="shared" si="6"/>
        <v>-1919912.6325646117</v>
      </c>
      <c r="F23" s="21">
        <f t="shared" si="6"/>
        <v>-1853250.6923165529</v>
      </c>
      <c r="G23" s="21">
        <f t="shared" si="6"/>
        <v>-1783888.4835621053</v>
      </c>
      <c r="H23" s="21">
        <f t="shared" si="6"/>
        <v>-1652558.6569556464</v>
      </c>
      <c r="I23" s="21">
        <f t="shared" si="6"/>
        <v>-1576175.1621785217</v>
      </c>
      <c r="J23" s="21">
        <f t="shared" si="6"/>
        <v>-1496615.4977512234</v>
      </c>
      <c r="K23" s="21">
        <f t="shared" si="6"/>
        <v>-1413713.865765559</v>
      </c>
      <c r="L23" s="21">
        <f t="shared" si="6"/>
        <v>-1327296.5439398214</v>
      </c>
      <c r="M23" s="21">
        <f t="shared" si="6"/>
        <v>-1237181.4808607951</v>
      </c>
      <c r="N23" s="21">
        <f t="shared" si="6"/>
        <v>-1275237.4595477737</v>
      </c>
      <c r="O23" s="21">
        <f t="shared" si="6"/>
        <v>-1179721.9794360935</v>
      </c>
      <c r="P23" s="21">
        <f t="shared" si="6"/>
        <v>-1080161.2952739848</v>
      </c>
      <c r="Q23" s="21">
        <f t="shared" si="6"/>
        <v>-976723.81478841172</v>
      </c>
      <c r="R23" s="21">
        <f t="shared" si="6"/>
        <v>-869231.51020547224</v>
      </c>
      <c r="S23" s="21">
        <f t="shared" si="6"/>
        <v>-757498.71476444462</v>
      </c>
      <c r="T23" s="21">
        <f t="shared" si="6"/>
        <v>-641331.77473789209</v>
      </c>
      <c r="U23" s="21">
        <f t="shared" si="6"/>
        <v>-520528.68614828913</v>
      </c>
      <c r="V23" s="21">
        <f t="shared" si="6"/>
        <v>-394878.71549048001</v>
      </c>
      <c r="W23" s="21">
        <f t="shared" si="6"/>
        <v>-264162.00373862725</v>
      </c>
      <c r="X23" s="21">
        <f t="shared" si="6"/>
        <v>-128149.152884222</v>
      </c>
      <c r="Y23" s="21">
        <f t="shared" si="6"/>
        <v>13399.205781704979</v>
      </c>
      <c r="Z23" s="21">
        <f t="shared" si="6"/>
        <v>-427383.28945863771</v>
      </c>
      <c r="AA23" s="21">
        <f t="shared" si="6"/>
        <v>-293705.31981892273</v>
      </c>
      <c r="AB23" s="21">
        <f t="shared" si="6"/>
        <v>-137403.08326168865</v>
      </c>
      <c r="AC23" s="21">
        <f t="shared" si="6"/>
        <v>23318.509819203231</v>
      </c>
      <c r="AD23" s="21">
        <f t="shared" si="6"/>
        <v>188650.2245367846</v>
      </c>
      <c r="AE23" s="21">
        <f t="shared" si="6"/>
        <v>358788.80107379716</v>
      </c>
      <c r="AF23" s="21">
        <f t="shared" si="6"/>
        <v>533937.20147899794</v>
      </c>
      <c r="AG23" s="21">
        <f t="shared" si="6"/>
        <v>714304.86462662288</v>
      </c>
      <c r="AH23" s="21">
        <f t="shared" si="6"/>
        <v>900107.96966394573</v>
      </c>
      <c r="AI23" s="21">
        <f t="shared" si="6"/>
        <v>1091569.70828307</v>
      </c>
      <c r="AJ23" s="21">
        <f t="shared" si="6"/>
        <v>1288920.5661646698</v>
      </c>
      <c r="AK23" s="21">
        <f t="shared" si="6"/>
        <v>1492398.6139533359</v>
      </c>
    </row>
    <row r="24" spans="1:37" ht="15" customHeight="1" x14ac:dyDescent="0.2">
      <c r="A24" s="11" t="s">
        <v>417</v>
      </c>
      <c r="B24" s="20">
        <f>0</f>
        <v>0</v>
      </c>
      <c r="C24" s="20">
        <f>0</f>
        <v>0</v>
      </c>
      <c r="D24" s="20">
        <f>0</f>
        <v>0</v>
      </c>
      <c r="E24" s="20">
        <f>0</f>
        <v>0</v>
      </c>
      <c r="F24" s="20">
        <f>0</f>
        <v>0</v>
      </c>
      <c r="G24" s="20">
        <f>0</f>
        <v>0</v>
      </c>
      <c r="H24" s="20">
        <f>0</f>
        <v>0</v>
      </c>
      <c r="I24" s="20">
        <f>0</f>
        <v>0</v>
      </c>
      <c r="J24" s="20">
        <f>0</f>
        <v>0</v>
      </c>
      <c r="K24" s="20">
        <f>0</f>
        <v>0</v>
      </c>
      <c r="L24" s="20">
        <f>0</f>
        <v>0</v>
      </c>
      <c r="M24" s="20">
        <f>-$B$34</f>
        <v>-1085331.0257842275</v>
      </c>
      <c r="N24" s="20">
        <f>0</f>
        <v>0</v>
      </c>
      <c r="O24" s="20">
        <f>0</f>
        <v>0</v>
      </c>
      <c r="P24" s="20">
        <f>0</f>
        <v>0</v>
      </c>
      <c r="Q24" s="20">
        <f>0</f>
        <v>0</v>
      </c>
      <c r="R24" s="20">
        <f>0</f>
        <v>0</v>
      </c>
      <c r="S24" s="20">
        <f>0</f>
        <v>0</v>
      </c>
      <c r="T24" s="20">
        <f>0</f>
        <v>0</v>
      </c>
      <c r="U24" s="20">
        <f>0</f>
        <v>0</v>
      </c>
      <c r="V24" s="20">
        <f>0</f>
        <v>0</v>
      </c>
      <c r="W24" s="20">
        <f>0</f>
        <v>0</v>
      </c>
      <c r="X24" s="20">
        <f>0</f>
        <v>0</v>
      </c>
      <c r="Y24" s="20">
        <f>-$C$34</f>
        <v>-1904351.1950961808</v>
      </c>
      <c r="Z24" s="20">
        <f>0</f>
        <v>0</v>
      </c>
      <c r="AA24" s="20">
        <f>0</f>
        <v>0</v>
      </c>
      <c r="AB24" s="20">
        <f>0</f>
        <v>0</v>
      </c>
      <c r="AC24" s="20">
        <f>0</f>
        <v>0</v>
      </c>
      <c r="AD24" s="20">
        <f>0</f>
        <v>0</v>
      </c>
      <c r="AE24" s="20">
        <f>0</f>
        <v>0</v>
      </c>
      <c r="AF24" s="20">
        <f>0</f>
        <v>0</v>
      </c>
      <c r="AG24" s="20">
        <f>0</f>
        <v>0</v>
      </c>
      <c r="AH24" s="20">
        <f>0</f>
        <v>0</v>
      </c>
      <c r="AI24" s="20">
        <f>0</f>
        <v>0</v>
      </c>
      <c r="AJ24" s="20">
        <f>0</f>
        <v>0</v>
      </c>
      <c r="AK24" s="20">
        <f>-$D$34</f>
        <v>-3172760.8001526855</v>
      </c>
    </row>
    <row r="25" spans="1:37" ht="15" customHeight="1" x14ac:dyDescent="0.2">
      <c r="A25" s="17" t="s">
        <v>418</v>
      </c>
      <c r="B25" s="21">
        <f t="shared" ref="B25:AK25" si="7">B23+B24</f>
        <v>-2233825.5127666667</v>
      </c>
      <c r="C25" s="21">
        <f t="shared" si="7"/>
        <v>-2045678.927729761</v>
      </c>
      <c r="D25" s="21">
        <f t="shared" si="7"/>
        <v>-1984011.6491345786</v>
      </c>
      <c r="E25" s="21">
        <f t="shared" si="7"/>
        <v>-1919912.6325646117</v>
      </c>
      <c r="F25" s="21">
        <f t="shared" si="7"/>
        <v>-1853250.6923165529</v>
      </c>
      <c r="G25" s="21">
        <f t="shared" si="7"/>
        <v>-1783888.4835621053</v>
      </c>
      <c r="H25" s="21">
        <f t="shared" si="7"/>
        <v>-1652558.6569556464</v>
      </c>
      <c r="I25" s="21">
        <f t="shared" si="7"/>
        <v>-1576175.1621785217</v>
      </c>
      <c r="J25" s="21">
        <f t="shared" si="7"/>
        <v>-1496615.4977512234</v>
      </c>
      <c r="K25" s="21">
        <f t="shared" si="7"/>
        <v>-1413713.865765559</v>
      </c>
      <c r="L25" s="21">
        <f t="shared" si="7"/>
        <v>-1327296.5439398214</v>
      </c>
      <c r="M25" s="21">
        <f t="shared" si="7"/>
        <v>-2322512.5066450229</v>
      </c>
      <c r="N25" s="21">
        <f t="shared" si="7"/>
        <v>-1275237.4595477737</v>
      </c>
      <c r="O25" s="21">
        <f t="shared" si="7"/>
        <v>-1179721.9794360935</v>
      </c>
      <c r="P25" s="21">
        <f t="shared" si="7"/>
        <v>-1080161.2952739848</v>
      </c>
      <c r="Q25" s="21">
        <f t="shared" si="7"/>
        <v>-976723.81478841172</v>
      </c>
      <c r="R25" s="21">
        <f t="shared" si="7"/>
        <v>-869231.51020547224</v>
      </c>
      <c r="S25" s="21">
        <f t="shared" si="7"/>
        <v>-757498.71476444462</v>
      </c>
      <c r="T25" s="21">
        <f t="shared" si="7"/>
        <v>-641331.77473789209</v>
      </c>
      <c r="U25" s="21">
        <f t="shared" si="7"/>
        <v>-520528.68614828913</v>
      </c>
      <c r="V25" s="21">
        <f t="shared" si="7"/>
        <v>-394878.71549048001</v>
      </c>
      <c r="W25" s="21">
        <f t="shared" si="7"/>
        <v>-264162.00373862725</v>
      </c>
      <c r="X25" s="21">
        <f t="shared" si="7"/>
        <v>-128149.152884222</v>
      </c>
      <c r="Y25" s="21">
        <f t="shared" si="7"/>
        <v>-1890951.9893144758</v>
      </c>
      <c r="Z25" s="21">
        <f t="shared" si="7"/>
        <v>-427383.28945863771</v>
      </c>
      <c r="AA25" s="21">
        <f t="shared" si="7"/>
        <v>-293705.31981892273</v>
      </c>
      <c r="AB25" s="21">
        <f t="shared" si="7"/>
        <v>-137403.08326168865</v>
      </c>
      <c r="AC25" s="21">
        <f t="shared" si="7"/>
        <v>23318.509819203231</v>
      </c>
      <c r="AD25" s="21">
        <f t="shared" si="7"/>
        <v>188650.2245367846</v>
      </c>
      <c r="AE25" s="21">
        <f t="shared" si="7"/>
        <v>358788.80107379716</v>
      </c>
      <c r="AF25" s="21">
        <f t="shared" si="7"/>
        <v>533937.20147899794</v>
      </c>
      <c r="AG25" s="21">
        <f t="shared" si="7"/>
        <v>714304.86462662288</v>
      </c>
      <c r="AH25" s="21">
        <f t="shared" si="7"/>
        <v>900107.96966394573</v>
      </c>
      <c r="AI25" s="21">
        <f t="shared" si="7"/>
        <v>1091569.70828307</v>
      </c>
      <c r="AJ25" s="21">
        <f t="shared" si="7"/>
        <v>1288920.5661646698</v>
      </c>
      <c r="AK25" s="21">
        <f t="shared" si="7"/>
        <v>-1680362.1861993496</v>
      </c>
    </row>
    <row r="26" spans="1:37" ht="15" customHeight="1" x14ac:dyDescent="0.2">
      <c r="A26" s="11" t="s">
        <v>419</v>
      </c>
      <c r="B26" s="22">
        <f t="shared" ref="B26:AK26" si="8">IF(B5=0,0,B25/B5)</f>
        <v>-1.6016530528190054</v>
      </c>
      <c r="C26" s="22">
        <f t="shared" si="8"/>
        <v>-1.4055896643054318</v>
      </c>
      <c r="D26" s="22">
        <f t="shared" si="8"/>
        <v>-1.3065970589459144</v>
      </c>
      <c r="E26" s="22">
        <f t="shared" si="8"/>
        <v>-1.2120401710428892</v>
      </c>
      <c r="F26" s="22">
        <f t="shared" si="8"/>
        <v>-1.1216513465089288</v>
      </c>
      <c r="G26" s="22">
        <f t="shared" si="8"/>
        <v>-1.0351875605287615</v>
      </c>
      <c r="H26" s="22">
        <f t="shared" si="8"/>
        <v>-0.89024233482649251</v>
      </c>
      <c r="I26" s="22">
        <f t="shared" si="8"/>
        <v>-0.81477458545089965</v>
      </c>
      <c r="J26" s="22">
        <f t="shared" si="8"/>
        <v>-0.74238817851144512</v>
      </c>
      <c r="K26" s="22">
        <f t="shared" si="8"/>
        <v>-0.67292928043574984</v>
      </c>
      <c r="L26" s="22">
        <f t="shared" si="8"/>
        <v>-0.60625590976312649</v>
      </c>
      <c r="M26" s="22">
        <f t="shared" si="8"/>
        <v>-1.0179197079496536</v>
      </c>
      <c r="N26" s="22">
        <f t="shared" si="8"/>
        <v>-0.50002496583843747</v>
      </c>
      <c r="O26" s="22">
        <f t="shared" si="8"/>
        <v>-0.4452605857186529</v>
      </c>
      <c r="P26" s="22">
        <f t="shared" si="8"/>
        <v>-0.39242716821797274</v>
      </c>
      <c r="Q26" s="22">
        <f t="shared" si="8"/>
        <v>-0.34156711186872185</v>
      </c>
      <c r="R26" s="22">
        <f t="shared" si="8"/>
        <v>-0.29259564968132318</v>
      </c>
      <c r="S26" s="22">
        <f t="shared" si="8"/>
        <v>-0.24543327992873698</v>
      </c>
      <c r="T26" s="22">
        <f t="shared" si="8"/>
        <v>-0.2000052833528343</v>
      </c>
      <c r="U26" s="22">
        <f t="shared" si="8"/>
        <v>-0.1562412934848601</v>
      </c>
      <c r="V26" s="22">
        <f t="shared" si="8"/>
        <v>-0.11407491375889213</v>
      </c>
      <c r="W26" s="22">
        <f t="shared" si="8"/>
        <v>-7.3443375916418044E-2</v>
      </c>
      <c r="X26" s="22">
        <f t="shared" si="8"/>
        <v>-3.4287234901053253E-2</v>
      </c>
      <c r="Y26" s="22">
        <f t="shared" si="8"/>
        <v>-0.48686488249876497</v>
      </c>
      <c r="Z26" s="22">
        <f t="shared" si="8"/>
        <v>-9.8859516097346833E-2</v>
      </c>
      <c r="AA26" s="22">
        <f t="shared" si="8"/>
        <v>-6.5527559963037857E-2</v>
      </c>
      <c r="AB26" s="22">
        <f t="shared" si="8"/>
        <v>-2.9576690672926485E-2</v>
      </c>
      <c r="AC26" s="22">
        <f t="shared" si="8"/>
        <v>4.8440974111903035E-3</v>
      </c>
      <c r="AD26" s="22">
        <f t="shared" si="8"/>
        <v>3.7829948389554675E-2</v>
      </c>
      <c r="AE26" s="22">
        <f t="shared" si="8"/>
        <v>6.9467423983297208E-2</v>
      </c>
      <c r="AF26" s="22">
        <f t="shared" si="8"/>
        <v>9.9835474300644586E-2</v>
      </c>
      <c r="AG26" s="22">
        <f t="shared" si="8"/>
        <v>0.12900628185937149</v>
      </c>
      <c r="AH26" s="22">
        <f t="shared" si="8"/>
        <v>0.15704599758682505</v>
      </c>
      <c r="AI26" s="22">
        <f t="shared" si="8"/>
        <v>0.18401538442087365</v>
      </c>
      <c r="AJ26" s="22">
        <f t="shared" si="8"/>
        <v>0.20997038160345108</v>
      </c>
      <c r="AK26" s="22">
        <f t="shared" si="8"/>
        <v>-0.2645555052535149</v>
      </c>
    </row>
    <row r="28" spans="1:37" ht="15" customHeight="1" x14ac:dyDescent="0.2">
      <c r="A28" s="17" t="s">
        <v>420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ht="15" customHeight="1" x14ac:dyDescent="0.2">
      <c r="A29" s="2"/>
      <c r="B29" s="29" t="s">
        <v>421</v>
      </c>
      <c r="C29" s="29" t="s">
        <v>422</v>
      </c>
      <c r="D29" s="29" t="s">
        <v>423</v>
      </c>
    </row>
    <row r="30" spans="1:37" ht="15" customHeight="1" x14ac:dyDescent="0.2">
      <c r="A30" s="11" t="s">
        <v>424</v>
      </c>
      <c r="B30" s="20">
        <f>SUMIF($B$2:$AK$2,1,$B$5:$AK$5)</f>
        <v>21706620.515684549</v>
      </c>
      <c r="C30" s="20">
        <f>SUMIF($B$2:$AK$2,2,$B$5:$AK$5)</f>
        <v>38087023.901923612</v>
      </c>
      <c r="D30" s="20">
        <f>SUMIF($B$2:$AK$2,3,$B$5:$AK$5)</f>
        <v>63455216.003053702</v>
      </c>
    </row>
    <row r="31" spans="1:37" ht="15" customHeight="1" x14ac:dyDescent="0.2">
      <c r="A31" s="11" t="s">
        <v>425</v>
      </c>
      <c r="B31" s="20">
        <f>SUMIF($B$2:$AK$2,1,$B$18:$AK$18)</f>
        <v>-15962797.029032622</v>
      </c>
      <c r="C31" s="20">
        <f>SUMIF($B$2:$AK$2,2,$B$18:$AK$18)</f>
        <v>-4181951.0555614131</v>
      </c>
      <c r="D31" s="20">
        <f>SUMIF($B$2:$AK$2,3,$B$18:$AK$18)</f>
        <v>8893982.0748634301</v>
      </c>
    </row>
    <row r="32" spans="1:37" ht="15" customHeight="1" x14ac:dyDescent="0.2">
      <c r="A32" s="11" t="s">
        <v>426</v>
      </c>
      <c r="B32" s="20">
        <f>SUMIF($B$2:$AK$2,1,$B$23:$AK$23)</f>
        <v>-20524109.105525844</v>
      </c>
      <c r="C32" s="20">
        <f>SUMIF($B$2:$AK$2,2,$B$23:$AK$23)</f>
        <v>-8074225.9012339832</v>
      </c>
      <c r="D32" s="20">
        <f>SUMIF($B$2:$AK$2,3,$B$23:$AK$23)</f>
        <v>5733504.7670611786</v>
      </c>
    </row>
    <row r="33" spans="1:4" ht="15" customHeight="1" x14ac:dyDescent="0.2">
      <c r="A33" s="11" t="s">
        <v>427</v>
      </c>
      <c r="B33" s="11">
        <v>0</v>
      </c>
      <c r="C33" s="11">
        <f>MIN(0,B32)</f>
        <v>-20524109.105525844</v>
      </c>
      <c r="D33" s="11">
        <f>MIN(0,B32+C32)</f>
        <v>-28598335.006759826</v>
      </c>
    </row>
    <row r="34" spans="1:4" ht="15" customHeight="1" x14ac:dyDescent="0.2">
      <c r="A34" s="17" t="s">
        <v>428</v>
      </c>
      <c r="B34" s="19">
        <f>IF(B30&lt;Parametres!$D$150,Parametres!$D$151*B30,MAX(Parametres!$D$152*MAX(0,B32+B33),Parametres!$D$153+Parametres!$D$154*B30))</f>
        <v>1085331.0257842275</v>
      </c>
      <c r="C34" s="19">
        <f>IF(C30&lt;Parametres!$D$150,Parametres!$D$151*C30,MAX(Parametres!$D$152*MAX(0,C32+C33),Parametres!$D$153+Parametres!$D$154*C30))</f>
        <v>1904351.1950961808</v>
      </c>
      <c r="D34" s="19">
        <f>IF(D30&lt;Parametres!$D$150,Parametres!$D$151*D30,MAX(Parametres!$D$152*MAX(0,D32+D33),Parametres!$D$153+Parametres!$D$154*D30))</f>
        <v>3172760.8001526855</v>
      </c>
    </row>
    <row r="35" spans="1:4" ht="15" customHeight="1" x14ac:dyDescent="0.2">
      <c r="A35" s="17" t="s">
        <v>429</v>
      </c>
      <c r="B35" s="21">
        <f>B32-B34</f>
        <v>-21609440.131310072</v>
      </c>
      <c r="C35" s="21">
        <f>C32-C34</f>
        <v>-9978577.096330164</v>
      </c>
      <c r="D35" s="21">
        <f>D32-D34</f>
        <v>2560743.9669084931</v>
      </c>
    </row>
    <row r="37" spans="1:4" ht="31.5" customHeight="1" x14ac:dyDescent="0.2">
      <c r="A37" s="28" t="s">
        <v>430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4E79"/>
  </sheetPr>
  <dimension ref="A1:AM2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D26" sqref="D26"/>
    </sheetView>
  </sheetViews>
  <sheetFormatPr baseColWidth="10" defaultColWidth="8.83203125" defaultRowHeight="15" x14ac:dyDescent="0.2"/>
  <cols>
    <col min="1" max="1" width="48" customWidth="1"/>
    <col min="3" max="39" width="12" customWidth="1"/>
  </cols>
  <sheetData>
    <row r="1" spans="1:39" ht="22" customHeight="1" x14ac:dyDescent="0.25">
      <c r="A1" s="111" t="s">
        <v>431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</row>
    <row r="2" spans="1:39" x14ac:dyDescent="0.2">
      <c r="A2" s="13" t="s">
        <v>332</v>
      </c>
      <c r="B2" s="13"/>
      <c r="C2" s="13">
        <v>0</v>
      </c>
      <c r="D2" s="13">
        <f t="shared" ref="D2:AM2" si="0">INT((D3-1)/12)+1</f>
        <v>1</v>
      </c>
      <c r="E2" s="13">
        <f t="shared" si="0"/>
        <v>1</v>
      </c>
      <c r="F2" s="13">
        <f t="shared" si="0"/>
        <v>1</v>
      </c>
      <c r="G2" s="13">
        <f t="shared" si="0"/>
        <v>1</v>
      </c>
      <c r="H2" s="13">
        <f t="shared" si="0"/>
        <v>1</v>
      </c>
      <c r="I2" s="13">
        <f t="shared" si="0"/>
        <v>1</v>
      </c>
      <c r="J2" s="13">
        <f t="shared" si="0"/>
        <v>1</v>
      </c>
      <c r="K2" s="13">
        <f t="shared" si="0"/>
        <v>1</v>
      </c>
      <c r="L2" s="13">
        <f t="shared" si="0"/>
        <v>1</v>
      </c>
      <c r="M2" s="13">
        <f t="shared" si="0"/>
        <v>1</v>
      </c>
      <c r="N2" s="13">
        <f t="shared" si="0"/>
        <v>1</v>
      </c>
      <c r="O2" s="13">
        <f t="shared" si="0"/>
        <v>1</v>
      </c>
      <c r="P2" s="13">
        <f t="shared" si="0"/>
        <v>2</v>
      </c>
      <c r="Q2" s="13">
        <f t="shared" si="0"/>
        <v>2</v>
      </c>
      <c r="R2" s="13">
        <f t="shared" si="0"/>
        <v>2</v>
      </c>
      <c r="S2" s="13">
        <f t="shared" si="0"/>
        <v>2</v>
      </c>
      <c r="T2" s="13">
        <f t="shared" si="0"/>
        <v>2</v>
      </c>
      <c r="U2" s="13">
        <f t="shared" si="0"/>
        <v>2</v>
      </c>
      <c r="V2" s="13">
        <f t="shared" si="0"/>
        <v>2</v>
      </c>
      <c r="W2" s="13">
        <f t="shared" si="0"/>
        <v>2</v>
      </c>
      <c r="X2" s="13">
        <f t="shared" si="0"/>
        <v>2</v>
      </c>
      <c r="Y2" s="13">
        <f t="shared" si="0"/>
        <v>2</v>
      </c>
      <c r="Z2" s="13">
        <f t="shared" si="0"/>
        <v>2</v>
      </c>
      <c r="AA2" s="13">
        <f t="shared" si="0"/>
        <v>2</v>
      </c>
      <c r="AB2" s="13">
        <f t="shared" si="0"/>
        <v>3</v>
      </c>
      <c r="AC2" s="13">
        <f t="shared" si="0"/>
        <v>3</v>
      </c>
      <c r="AD2" s="13">
        <f t="shared" si="0"/>
        <v>3</v>
      </c>
      <c r="AE2" s="13">
        <f t="shared" si="0"/>
        <v>3</v>
      </c>
      <c r="AF2" s="13">
        <f t="shared" si="0"/>
        <v>3</v>
      </c>
      <c r="AG2" s="13">
        <f t="shared" si="0"/>
        <v>3</v>
      </c>
      <c r="AH2" s="13">
        <f t="shared" si="0"/>
        <v>3</v>
      </c>
      <c r="AI2" s="13">
        <f t="shared" si="0"/>
        <v>3</v>
      </c>
      <c r="AJ2" s="13">
        <f t="shared" si="0"/>
        <v>3</v>
      </c>
      <c r="AK2" s="13">
        <f t="shared" si="0"/>
        <v>3</v>
      </c>
      <c r="AL2" s="13">
        <f t="shared" si="0"/>
        <v>3</v>
      </c>
      <c r="AM2" s="13">
        <f t="shared" si="0"/>
        <v>3</v>
      </c>
    </row>
    <row r="3" spans="1:39" x14ac:dyDescent="0.2">
      <c r="A3" s="13" t="s">
        <v>333</v>
      </c>
      <c r="B3" s="13"/>
      <c r="C3" s="13">
        <v>0</v>
      </c>
      <c r="D3" s="13">
        <v>1</v>
      </c>
      <c r="E3" s="13">
        <v>2</v>
      </c>
      <c r="F3" s="13">
        <v>3</v>
      </c>
      <c r="G3" s="13">
        <v>4</v>
      </c>
      <c r="H3" s="13">
        <v>5</v>
      </c>
      <c r="I3" s="13">
        <v>6</v>
      </c>
      <c r="J3" s="13">
        <v>7</v>
      </c>
      <c r="K3" s="13">
        <v>8</v>
      </c>
      <c r="L3" s="13">
        <v>9</v>
      </c>
      <c r="M3" s="13">
        <v>10</v>
      </c>
      <c r="N3" s="13">
        <v>11</v>
      </c>
      <c r="O3" s="13">
        <v>12</v>
      </c>
      <c r="P3" s="13">
        <v>13</v>
      </c>
      <c r="Q3" s="13">
        <v>14</v>
      </c>
      <c r="R3" s="13">
        <v>15</v>
      </c>
      <c r="S3" s="13">
        <v>16</v>
      </c>
      <c r="T3" s="13">
        <v>17</v>
      </c>
      <c r="U3" s="13">
        <v>18</v>
      </c>
      <c r="V3" s="13">
        <v>19</v>
      </c>
      <c r="W3" s="13">
        <v>20</v>
      </c>
      <c r="X3" s="13">
        <v>21</v>
      </c>
      <c r="Y3" s="13">
        <v>22</v>
      </c>
      <c r="Z3" s="13">
        <v>23</v>
      </c>
      <c r="AA3" s="13">
        <v>24</v>
      </c>
      <c r="AB3" s="13">
        <v>25</v>
      </c>
      <c r="AC3" s="13">
        <v>26</v>
      </c>
      <c r="AD3" s="13">
        <v>27</v>
      </c>
      <c r="AE3" s="13">
        <v>28</v>
      </c>
      <c r="AF3" s="13">
        <v>29</v>
      </c>
      <c r="AG3" s="13">
        <v>30</v>
      </c>
      <c r="AH3" s="13">
        <v>31</v>
      </c>
      <c r="AI3" s="13">
        <v>32</v>
      </c>
      <c r="AJ3" s="13">
        <v>33</v>
      </c>
      <c r="AK3" s="13">
        <v>34</v>
      </c>
      <c r="AL3" s="13">
        <v>35</v>
      </c>
      <c r="AM3" s="13">
        <v>36</v>
      </c>
    </row>
    <row r="5" spans="1:39" ht="16" customHeight="1" x14ac:dyDescent="0.2">
      <c r="A5" s="30" t="s">
        <v>432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</row>
    <row r="6" spans="1:39" x14ac:dyDescent="0.2">
      <c r="A6" s="28" t="s">
        <v>433</v>
      </c>
      <c r="C6" s="24">
        <f>Financement!B4</f>
        <v>4900000</v>
      </c>
      <c r="D6" s="24">
        <f>Financement!$B$4</f>
        <v>4900000</v>
      </c>
      <c r="E6" s="24">
        <f>Financement!$B$4</f>
        <v>4900000</v>
      </c>
      <c r="F6" s="24">
        <f>Financement!$B$4</f>
        <v>4900000</v>
      </c>
      <c r="G6" s="24">
        <f>Financement!$B$4</f>
        <v>4900000</v>
      </c>
      <c r="H6" s="24">
        <f>Financement!$B$4</f>
        <v>4900000</v>
      </c>
      <c r="I6" s="24">
        <f>Financement!$B$4</f>
        <v>4900000</v>
      </c>
      <c r="J6" s="24">
        <f>Financement!$B$4</f>
        <v>4900000</v>
      </c>
      <c r="K6" s="24">
        <f>Financement!$B$4</f>
        <v>4900000</v>
      </c>
      <c r="L6" s="24">
        <f>Financement!$B$4</f>
        <v>4900000</v>
      </c>
      <c r="M6" s="24">
        <f>Financement!$B$4</f>
        <v>4900000</v>
      </c>
      <c r="N6" s="24">
        <f>Financement!$B$4</f>
        <v>4900000</v>
      </c>
      <c r="O6" s="24">
        <f>Financement!$B$4</f>
        <v>4900000</v>
      </c>
      <c r="P6" s="24">
        <f>Financement!$B$4</f>
        <v>4900000</v>
      </c>
      <c r="Q6" s="24">
        <f>Financement!$B$4</f>
        <v>4900000</v>
      </c>
      <c r="R6" s="24">
        <f>Financement!$B$4</f>
        <v>4900000</v>
      </c>
      <c r="S6" s="24">
        <f>Financement!$B$4</f>
        <v>4900000</v>
      </c>
      <c r="T6" s="24">
        <f>Financement!$B$4</f>
        <v>4900000</v>
      </c>
      <c r="U6" s="24">
        <f>Financement!$B$4</f>
        <v>4900000</v>
      </c>
      <c r="V6" s="24">
        <f>Financement!$B$4</f>
        <v>4900000</v>
      </c>
      <c r="W6" s="24">
        <f>Financement!$B$4</f>
        <v>4900000</v>
      </c>
      <c r="X6" s="24">
        <f>Financement!$B$4</f>
        <v>4900000</v>
      </c>
      <c r="Y6" s="24">
        <f>Financement!$B$4</f>
        <v>4900000</v>
      </c>
      <c r="Z6" s="24">
        <f>Financement!$B$4</f>
        <v>4900000</v>
      </c>
      <c r="AA6" s="24">
        <f>Financement!$B$4</f>
        <v>4900000</v>
      </c>
      <c r="AB6" s="24">
        <f>Financement!$B$4</f>
        <v>4900000</v>
      </c>
      <c r="AC6" s="24">
        <f>Financement!$B$4</f>
        <v>4900000</v>
      </c>
      <c r="AD6" s="24">
        <f>Financement!$B$4</f>
        <v>4900000</v>
      </c>
      <c r="AE6" s="24">
        <f>Financement!$B$4</f>
        <v>4900000</v>
      </c>
      <c r="AF6" s="24">
        <f>Financement!$B$4</f>
        <v>4900000</v>
      </c>
      <c r="AG6" s="24">
        <f>Financement!$B$4</f>
        <v>4900000</v>
      </c>
      <c r="AH6" s="24">
        <f>Financement!$B$4</f>
        <v>4900000</v>
      </c>
      <c r="AI6" s="24">
        <f>Financement!$B$4</f>
        <v>4900000</v>
      </c>
      <c r="AJ6" s="24">
        <f>Financement!$B$4</f>
        <v>4900000</v>
      </c>
      <c r="AK6" s="24">
        <f>Financement!$B$4</f>
        <v>4900000</v>
      </c>
      <c r="AL6" s="24">
        <f>Financement!$B$4</f>
        <v>4900000</v>
      </c>
      <c r="AM6" s="24">
        <f>Financement!$B$4</f>
        <v>4900000</v>
      </c>
    </row>
    <row r="7" spans="1:39" x14ac:dyDescent="0.2">
      <c r="A7" s="28" t="s">
        <v>434</v>
      </c>
      <c r="C7" s="26">
        <v>0</v>
      </c>
      <c r="D7" s="24">
        <f>-Amortissements!$H$6*D$3</f>
        <v>-81666.666666666672</v>
      </c>
      <c r="E7" s="24">
        <f>-Amortissements!$H$6*E$3</f>
        <v>-163333.33333333334</v>
      </c>
      <c r="F7" s="24">
        <f>-Amortissements!$H$6*F$3</f>
        <v>-245000</v>
      </c>
      <c r="G7" s="24">
        <f>-Amortissements!$H$6*G$3</f>
        <v>-326666.66666666669</v>
      </c>
      <c r="H7" s="24">
        <f>-Amortissements!$H$6*H$3</f>
        <v>-408333.33333333337</v>
      </c>
      <c r="I7" s="24">
        <f>-Amortissements!$H$6*I$3</f>
        <v>-490000</v>
      </c>
      <c r="J7" s="24">
        <f>-Amortissements!$H$6*J$3</f>
        <v>-571666.66666666674</v>
      </c>
      <c r="K7" s="24">
        <f>-Amortissements!$H$6*K$3</f>
        <v>-653333.33333333337</v>
      </c>
      <c r="L7" s="24">
        <f>-Amortissements!$H$6*L$3</f>
        <v>-735000</v>
      </c>
      <c r="M7" s="24">
        <f>-Amortissements!$H$6*M$3</f>
        <v>-816666.66666666674</v>
      </c>
      <c r="N7" s="24">
        <f>-Amortissements!$H$6*N$3</f>
        <v>-898333.33333333337</v>
      </c>
      <c r="O7" s="24">
        <f>-Amortissements!$H$6*O$3</f>
        <v>-980000</v>
      </c>
      <c r="P7" s="24">
        <f>-Amortissements!$H$6*P$3</f>
        <v>-1061666.6666666667</v>
      </c>
      <c r="Q7" s="24">
        <f>-Amortissements!$H$6*Q$3</f>
        <v>-1143333.3333333335</v>
      </c>
      <c r="R7" s="24">
        <f>-Amortissements!$H$6*R$3</f>
        <v>-1225000</v>
      </c>
      <c r="S7" s="24">
        <f>-Amortissements!$H$6*S$3</f>
        <v>-1306666.6666666667</v>
      </c>
      <c r="T7" s="24">
        <f>-Amortissements!$H$6*T$3</f>
        <v>-1388333.3333333335</v>
      </c>
      <c r="U7" s="24">
        <f>-Amortissements!$H$6*U$3</f>
        <v>-1470000</v>
      </c>
      <c r="V7" s="24">
        <f>-Amortissements!$H$6*V$3</f>
        <v>-1551666.6666666667</v>
      </c>
      <c r="W7" s="24">
        <f>-Amortissements!$H$6*W$3</f>
        <v>-1633333.3333333335</v>
      </c>
      <c r="X7" s="24">
        <f>-Amortissements!$H$6*X$3</f>
        <v>-1715000</v>
      </c>
      <c r="Y7" s="24">
        <f>-Amortissements!$H$6*Y$3</f>
        <v>-1796666.6666666667</v>
      </c>
      <c r="Z7" s="24">
        <f>-Amortissements!$H$6*Z$3</f>
        <v>-1878333.3333333335</v>
      </c>
      <c r="AA7" s="24">
        <f>-Amortissements!$H$6*AA$3</f>
        <v>-1960000</v>
      </c>
      <c r="AB7" s="24">
        <f>-Amortissements!$H$6*AB$3</f>
        <v>-2041666.6666666667</v>
      </c>
      <c r="AC7" s="24">
        <f>-Amortissements!$H$6*AC$3</f>
        <v>-2123333.3333333335</v>
      </c>
      <c r="AD7" s="24">
        <f>-Amortissements!$H$6*AD$3</f>
        <v>-2205000</v>
      </c>
      <c r="AE7" s="24">
        <f>-Amortissements!$H$6*AE$3</f>
        <v>-2286666.666666667</v>
      </c>
      <c r="AF7" s="24">
        <f>-Amortissements!$H$6*AF$3</f>
        <v>-2368333.3333333335</v>
      </c>
      <c r="AG7" s="24">
        <f>-Amortissements!$H$6*AG$3</f>
        <v>-2450000</v>
      </c>
      <c r="AH7" s="24">
        <f>-Amortissements!$H$6*AH$3</f>
        <v>-2531666.666666667</v>
      </c>
      <c r="AI7" s="24">
        <f>-Amortissements!$H$6*AI$3</f>
        <v>-2613333.3333333335</v>
      </c>
      <c r="AJ7" s="24">
        <f>-Amortissements!$H$6*AJ$3</f>
        <v>-2695000</v>
      </c>
      <c r="AK7" s="24">
        <f>-Amortissements!$H$6*AK$3</f>
        <v>-2776666.666666667</v>
      </c>
      <c r="AL7" s="24">
        <f>-Amortissements!$H$6*AL$3</f>
        <v>-2858333.3333333335</v>
      </c>
      <c r="AM7" s="24">
        <f>-Amortissements!$H$6*AM$3</f>
        <v>-2940000</v>
      </c>
    </row>
    <row r="8" spans="1:39" x14ac:dyDescent="0.2">
      <c r="A8" s="28" t="s">
        <v>435</v>
      </c>
      <c r="C8" s="26">
        <f t="shared" ref="C8:AM8" si="1">C6+C7</f>
        <v>4900000</v>
      </c>
      <c r="D8" s="26">
        <f t="shared" si="1"/>
        <v>4818333.333333333</v>
      </c>
      <c r="E8" s="26">
        <f t="shared" si="1"/>
        <v>4736666.666666667</v>
      </c>
      <c r="F8" s="26">
        <f t="shared" si="1"/>
        <v>4655000</v>
      </c>
      <c r="G8" s="26">
        <f t="shared" si="1"/>
        <v>4573333.333333333</v>
      </c>
      <c r="H8" s="26">
        <f t="shared" si="1"/>
        <v>4491666.666666667</v>
      </c>
      <c r="I8" s="26">
        <f t="shared" si="1"/>
        <v>4410000</v>
      </c>
      <c r="J8" s="26">
        <f t="shared" si="1"/>
        <v>4328333.333333333</v>
      </c>
      <c r="K8" s="26">
        <f t="shared" si="1"/>
        <v>4246666.666666667</v>
      </c>
      <c r="L8" s="26">
        <f t="shared" si="1"/>
        <v>4165000</v>
      </c>
      <c r="M8" s="26">
        <f t="shared" si="1"/>
        <v>4083333.333333333</v>
      </c>
      <c r="N8" s="26">
        <f t="shared" si="1"/>
        <v>4001666.6666666665</v>
      </c>
      <c r="O8" s="26">
        <f t="shared" si="1"/>
        <v>3920000</v>
      </c>
      <c r="P8" s="26">
        <f t="shared" si="1"/>
        <v>3838333.333333333</v>
      </c>
      <c r="Q8" s="26">
        <f t="shared" si="1"/>
        <v>3756666.6666666665</v>
      </c>
      <c r="R8" s="26">
        <f t="shared" si="1"/>
        <v>3675000</v>
      </c>
      <c r="S8" s="26">
        <f t="shared" si="1"/>
        <v>3593333.333333333</v>
      </c>
      <c r="T8" s="26">
        <f t="shared" si="1"/>
        <v>3511666.6666666665</v>
      </c>
      <c r="U8" s="26">
        <f t="shared" si="1"/>
        <v>3430000</v>
      </c>
      <c r="V8" s="26">
        <f t="shared" si="1"/>
        <v>3348333.333333333</v>
      </c>
      <c r="W8" s="26">
        <f t="shared" si="1"/>
        <v>3266666.6666666665</v>
      </c>
      <c r="X8" s="26">
        <f t="shared" si="1"/>
        <v>3185000</v>
      </c>
      <c r="Y8" s="26">
        <f t="shared" si="1"/>
        <v>3103333.333333333</v>
      </c>
      <c r="Z8" s="26">
        <f t="shared" si="1"/>
        <v>3021666.6666666665</v>
      </c>
      <c r="AA8" s="26">
        <f t="shared" si="1"/>
        <v>2940000</v>
      </c>
      <c r="AB8" s="26">
        <f t="shared" si="1"/>
        <v>2858333.333333333</v>
      </c>
      <c r="AC8" s="26">
        <f t="shared" si="1"/>
        <v>2776666.6666666665</v>
      </c>
      <c r="AD8" s="26">
        <f t="shared" si="1"/>
        <v>2695000</v>
      </c>
      <c r="AE8" s="26">
        <f t="shared" si="1"/>
        <v>2613333.333333333</v>
      </c>
      <c r="AF8" s="26">
        <f t="shared" si="1"/>
        <v>2531666.6666666665</v>
      </c>
      <c r="AG8" s="26">
        <f t="shared" si="1"/>
        <v>2450000</v>
      </c>
      <c r="AH8" s="26">
        <f t="shared" si="1"/>
        <v>2368333.333333333</v>
      </c>
      <c r="AI8" s="26">
        <f t="shared" si="1"/>
        <v>2286666.6666666665</v>
      </c>
      <c r="AJ8" s="26">
        <f t="shared" si="1"/>
        <v>2205000</v>
      </c>
      <c r="AK8" s="26">
        <f t="shared" si="1"/>
        <v>2123333.333333333</v>
      </c>
      <c r="AL8" s="26">
        <f t="shared" si="1"/>
        <v>2041666.6666666665</v>
      </c>
      <c r="AM8" s="26">
        <f t="shared" si="1"/>
        <v>1960000</v>
      </c>
    </row>
    <row r="9" spans="1:39" x14ac:dyDescent="0.2">
      <c r="A9" s="28" t="s">
        <v>436</v>
      </c>
      <c r="C9" s="24">
        <f>Tresorerie!C25</f>
        <v>47108307.480000004</v>
      </c>
      <c r="D9" s="24">
        <f>Tresorerie!D25</f>
        <v>44385929.215645909</v>
      </c>
      <c r="E9" s="24">
        <f>Tresorerie!E25</f>
        <v>41847420.890691809</v>
      </c>
      <c r="F9" s="24">
        <f>Tresorerie!F25</f>
        <v>39366271.123853713</v>
      </c>
      <c r="G9" s="24">
        <f>Tresorerie!G25</f>
        <v>36944879.337702803</v>
      </c>
      <c r="H9" s="24">
        <f>Tresorerie!H25</f>
        <v>34585775.89814806</v>
      </c>
      <c r="I9" s="24">
        <f>Tresorerie!I25</f>
        <v>32291628.271743476</v>
      </c>
      <c r="J9" s="24">
        <f>Tresorerie!J25</f>
        <v>30124371.028374031</v>
      </c>
      <c r="K9" s="24">
        <f>Tresorerie!K25</f>
        <v>28029024.540383607</v>
      </c>
      <c r="L9" s="24">
        <f>Tresorerie!L25</f>
        <v>26008731.431876894</v>
      </c>
      <c r="M9" s="24">
        <f>Tresorerie!M25</f>
        <v>24066799.873275176</v>
      </c>
      <c r="N9" s="24">
        <f>Tresorerie!N25</f>
        <v>22206711.503802925</v>
      </c>
      <c r="O9" s="24">
        <f>Tresorerie!O25</f>
        <v>19346798.732933979</v>
      </c>
      <c r="P9" s="24">
        <f>Tresorerie!P25</f>
        <v>17529518.007180605</v>
      </c>
      <c r="Q9" s="24">
        <f>Tresorerie!Q25</f>
        <v>15803074.937042369</v>
      </c>
      <c r="R9" s="24">
        <f>Tresorerie!R25</f>
        <v>14171479.642885974</v>
      </c>
      <c r="S9" s="24">
        <f>Tresorerie!S25</f>
        <v>12638573.574223535</v>
      </c>
      <c r="T9" s="24">
        <f>Tresorerie!T25</f>
        <v>11208375.943239979</v>
      </c>
      <c r="U9" s="24">
        <f>Tresorerie!U25</f>
        <v>9885091.3617916163</v>
      </c>
      <c r="V9" s="24">
        <f>Tresorerie!V25</f>
        <v>8673117.8263696767</v>
      </c>
      <c r="W9" s="24">
        <f>Tresorerie!W25</f>
        <v>7577055.0663322099</v>
      </c>
      <c r="X9" s="24">
        <f>Tresorerie!X25</f>
        <v>6601713.2713983832</v>
      </c>
      <c r="Y9" s="24">
        <f>Tresorerie!Y25</f>
        <v>5752122.2151205838</v>
      </c>
      <c r="Z9" s="24">
        <f>Tresorerie!Z25</f>
        <v>5033540.7918031458</v>
      </c>
      <c r="AA9" s="24">
        <f>Tresorerie!AA25</f>
        <v>2547115.7900272049</v>
      </c>
      <c r="AB9" s="24">
        <f>Tresorerie!AB25</f>
        <v>1519180.9405136413</v>
      </c>
      <c r="AC9" s="24">
        <f>Tresorerie!AC25</f>
        <v>619807.42393938091</v>
      </c>
      <c r="AD9" s="24">
        <f>Tresorerie!AD25</f>
        <v>-128418.86755331059</v>
      </c>
      <c r="AE9" s="24">
        <f>Tresorerie!AE25</f>
        <v>-721117.2400268428</v>
      </c>
      <c r="AF9" s="24">
        <f>Tresorerie!AF25</f>
        <v>-1153716.5243999888</v>
      </c>
      <c r="AG9" s="24">
        <f>Tresorerie!AG25</f>
        <v>-1421449.1035529471</v>
      </c>
      <c r="AH9" s="24">
        <f>Tresorerie!AH25</f>
        <v>-1519344.6926524052</v>
      </c>
      <c r="AI9" s="24">
        <f>Tresorerie!AI25</f>
        <v>-1442223.8645335769</v>
      </c>
      <c r="AJ9" s="24">
        <f>Tresorerie!AJ25</f>
        <v>-1184691.311651234</v>
      </c>
      <c r="AK9" s="24">
        <f>Tresorerie!AK25</f>
        <v>-741128.83577562892</v>
      </c>
      <c r="AL9" s="24">
        <f>Tresorerie!AL25</f>
        <v>-105688.05626147997</v>
      </c>
      <c r="AM9" s="24">
        <f>Tresorerie!AM25</f>
        <v>-2445043.6275112294</v>
      </c>
    </row>
    <row r="10" spans="1:39" ht="16" customHeight="1" x14ac:dyDescent="0.2">
      <c r="A10" s="31" t="s">
        <v>437</v>
      </c>
      <c r="C10" s="26">
        <f t="shared" ref="C10:AM10" si="2">C8+C9</f>
        <v>52008307.480000004</v>
      </c>
      <c r="D10" s="26">
        <f t="shared" si="2"/>
        <v>49204262.548979245</v>
      </c>
      <c r="E10" s="26">
        <f t="shared" si="2"/>
        <v>46584087.557358474</v>
      </c>
      <c r="F10" s="26">
        <f t="shared" si="2"/>
        <v>44021271.123853713</v>
      </c>
      <c r="G10" s="26">
        <f t="shared" si="2"/>
        <v>41518212.671036139</v>
      </c>
      <c r="H10" s="26">
        <f t="shared" si="2"/>
        <v>39077442.564814724</v>
      </c>
      <c r="I10" s="26">
        <f t="shared" si="2"/>
        <v>36701628.271743476</v>
      </c>
      <c r="J10" s="26">
        <f t="shared" si="2"/>
        <v>34452704.361707367</v>
      </c>
      <c r="K10" s="26">
        <f t="shared" si="2"/>
        <v>32275691.207050275</v>
      </c>
      <c r="L10" s="26">
        <f t="shared" si="2"/>
        <v>30173731.431876894</v>
      </c>
      <c r="M10" s="26">
        <f t="shared" si="2"/>
        <v>28150133.206608508</v>
      </c>
      <c r="N10" s="26">
        <f t="shared" si="2"/>
        <v>26208378.170469593</v>
      </c>
      <c r="O10" s="26">
        <f t="shared" si="2"/>
        <v>23266798.732933979</v>
      </c>
      <c r="P10" s="26">
        <f t="shared" si="2"/>
        <v>21367851.340513937</v>
      </c>
      <c r="Q10" s="26">
        <f t="shared" si="2"/>
        <v>19559741.603709035</v>
      </c>
      <c r="R10" s="26">
        <f t="shared" si="2"/>
        <v>17846479.642885976</v>
      </c>
      <c r="S10" s="26">
        <f t="shared" si="2"/>
        <v>16231906.907556869</v>
      </c>
      <c r="T10" s="26">
        <f t="shared" si="2"/>
        <v>14720042.609906645</v>
      </c>
      <c r="U10" s="26">
        <f t="shared" si="2"/>
        <v>13315091.361791616</v>
      </c>
      <c r="V10" s="26">
        <f t="shared" si="2"/>
        <v>12021451.159703009</v>
      </c>
      <c r="W10" s="26">
        <f t="shared" si="2"/>
        <v>10843721.732998876</v>
      </c>
      <c r="X10" s="26">
        <f t="shared" si="2"/>
        <v>9786713.2713983841</v>
      </c>
      <c r="Y10" s="26">
        <f t="shared" si="2"/>
        <v>8855455.5484539159</v>
      </c>
      <c r="Z10" s="26">
        <f t="shared" si="2"/>
        <v>8055207.4584698118</v>
      </c>
      <c r="AA10" s="26">
        <f t="shared" si="2"/>
        <v>5487115.7900272049</v>
      </c>
      <c r="AB10" s="26">
        <f t="shared" si="2"/>
        <v>4377514.2738469746</v>
      </c>
      <c r="AC10" s="26">
        <f t="shared" si="2"/>
        <v>3396474.0906060473</v>
      </c>
      <c r="AD10" s="26">
        <f t="shared" si="2"/>
        <v>2566581.1324466895</v>
      </c>
      <c r="AE10" s="26">
        <f t="shared" si="2"/>
        <v>1892216.0933064902</v>
      </c>
      <c r="AF10" s="26">
        <f t="shared" si="2"/>
        <v>1377950.1422666777</v>
      </c>
      <c r="AG10" s="26">
        <f t="shared" si="2"/>
        <v>1028550.8964470529</v>
      </c>
      <c r="AH10" s="26">
        <f t="shared" si="2"/>
        <v>848988.64068092778</v>
      </c>
      <c r="AI10" s="26">
        <f t="shared" si="2"/>
        <v>844442.80213308963</v>
      </c>
      <c r="AJ10" s="26">
        <f t="shared" si="2"/>
        <v>1020308.688348766</v>
      </c>
      <c r="AK10" s="26">
        <f t="shared" si="2"/>
        <v>1382204.4975577041</v>
      </c>
      <c r="AL10" s="26">
        <f t="shared" si="2"/>
        <v>1935978.6104051867</v>
      </c>
      <c r="AM10" s="26">
        <f t="shared" si="2"/>
        <v>-485043.62751122937</v>
      </c>
    </row>
    <row r="12" spans="1:39" ht="16" customHeight="1" x14ac:dyDescent="0.2">
      <c r="A12" s="30" t="s">
        <v>438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</row>
    <row r="13" spans="1:39" x14ac:dyDescent="0.2">
      <c r="A13" s="28" t="s">
        <v>439</v>
      </c>
      <c r="C13" s="24">
        <f>Financement!B23</f>
        <v>43008307.480000004</v>
      </c>
      <c r="D13" s="24">
        <f>IF(D$3&gt;Financement!$B$25,0,Financement!C34)</f>
        <v>42438088.061745904</v>
      </c>
      <c r="E13" s="24">
        <f>IF(E$3&gt;Financement!$B$25,0,Financement!D34)</f>
        <v>41863591.997854903</v>
      </c>
      <c r="F13" s="24">
        <f>IF(F$3&gt;Financement!$B$25,0,Financement!E34)</f>
        <v>41284787.213484719</v>
      </c>
      <c r="G13" s="24">
        <f>IF(G$3&gt;Financement!$B$25,0,Financement!F34)</f>
        <v>40701641.393231757</v>
      </c>
      <c r="H13" s="24">
        <f>IF(H$3&gt;Financement!$B$25,0,Financement!G34)</f>
        <v>40114121.979326896</v>
      </c>
      <c r="I13" s="24">
        <f>IF(I$3&gt;Financement!$B$25,0,Financement!H34)</f>
        <v>39522196.169817753</v>
      </c>
      <c r="J13" s="24">
        <f>IF(J$3&gt;Financement!$B$25,0,Financement!I34)</f>
        <v>38925830.916737288</v>
      </c>
      <c r="K13" s="24">
        <f>IF(K$3&gt;Financement!$B$25,0,Financement!J34)</f>
        <v>38324992.924258716</v>
      </c>
      <c r="L13" s="24">
        <f>IF(L$3&gt;Financement!$B$25,0,Financement!K34)</f>
        <v>37719648.646836556</v>
      </c>
      <c r="M13" s="24">
        <f>IF(M$3&gt;Financement!$B$25,0,Financement!L34)</f>
        <v>37109764.287333734</v>
      </c>
      <c r="N13" s="24">
        <f>IF(N$3&gt;Financement!$B$25,0,Financement!M34)</f>
        <v>36495305.795134641</v>
      </c>
      <c r="O13" s="24">
        <f>IF(O$3&gt;Financement!$B$25,0,Financement!N34)</f>
        <v>35876238.864244051</v>
      </c>
      <c r="P13" s="24">
        <f>IF(P$3&gt;Financement!$B$25,0,Financement!O34)</f>
        <v>35252528.931371786</v>
      </c>
      <c r="Q13" s="24">
        <f>IF(Q$3&gt;Financement!$B$25,0,Financement!P34)</f>
        <v>34624141.174002975</v>
      </c>
      <c r="R13" s="24">
        <f>IF(R$3&gt;Financement!$B$25,0,Financement!Q34)</f>
        <v>33991040.508453898</v>
      </c>
      <c r="S13" s="24">
        <f>IF(S$3&gt;Financement!$B$25,0,Financement!R34)</f>
        <v>33353191.587913204</v>
      </c>
      <c r="T13" s="24">
        <f>IF(T$3&gt;Financement!$B$25,0,Financement!S34)</f>
        <v>32710558.800468456</v>
      </c>
      <c r="U13" s="24">
        <f>IF(U$3&gt;Financement!$B$25,0,Financement!T34)</f>
        <v>32063106.267117873</v>
      </c>
      <c r="V13" s="24">
        <f>IF(V$3&gt;Financement!$B$25,0,Financement!U34)</f>
        <v>31410797.839767158</v>
      </c>
      <c r="W13" s="24">
        <f>IF(W$3&gt;Financement!$B$25,0,Financement!V34)</f>
        <v>30753597.099211313</v>
      </c>
      <c r="X13" s="24">
        <f>IF(X$3&gt;Financement!$B$25,0,Financement!W34)</f>
        <v>30091467.353101298</v>
      </c>
      <c r="Y13" s="24">
        <f>IF(Y$3&gt;Financement!$B$25,0,Financement!X34)</f>
        <v>29424371.633895461</v>
      </c>
      <c r="Z13" s="24">
        <f>IF(Z$3&gt;Financement!$B$25,0,Financement!Y34)</f>
        <v>28752272.696795579</v>
      </c>
      <c r="AA13" s="24">
        <f>IF(AA$3&gt;Financement!$B$25,0,Financement!Z34)</f>
        <v>28075133.017667446</v>
      </c>
      <c r="AB13" s="24">
        <f>IF(AB$3&gt;Financement!$B$25,0,Financement!AA34)</f>
        <v>27392914.790945854</v>
      </c>
      <c r="AC13" s="24">
        <f>IF(AC$3&gt;Financement!$B$25,0,Financement!AB34)</f>
        <v>26705579.927523851</v>
      </c>
      <c r="AD13" s="24">
        <f>IF(AD$3&gt;Financement!$B$25,0,Financement!AC34)</f>
        <v>26013090.052626181</v>
      </c>
      <c r="AE13" s="24">
        <f>IF(AE$3&gt;Financement!$B$25,0,Financement!AD34)</f>
        <v>25315406.503666781</v>
      </c>
      <c r="AF13" s="24">
        <f>IF(AF$3&gt;Financement!$B$25,0,Financement!AE34)</f>
        <v>24612490.328090183</v>
      </c>
      <c r="AG13" s="24">
        <f>IF(AG$3&gt;Financement!$B$25,0,Financement!AF34)</f>
        <v>23904302.281196762</v>
      </c>
      <c r="AH13" s="24">
        <f>IF(AH$3&gt;Financement!$B$25,0,Financement!AG34)</f>
        <v>23190802.823951639</v>
      </c>
      <c r="AI13" s="24">
        <f>IF(AI$3&gt;Financement!$B$25,0,Financement!AH34)</f>
        <v>22471952.120777179</v>
      </c>
      <c r="AJ13" s="24">
        <f>IF(AJ$3&gt;Financement!$B$25,0,Financement!AI34)</f>
        <v>21747710.03732891</v>
      </c>
      <c r="AK13" s="24">
        <f>IF(AK$3&gt;Financement!$B$25,0,Financement!AJ34)</f>
        <v>21018036.138254777</v>
      </c>
      <c r="AL13" s="24">
        <f>IF(AL$3&gt;Financement!$B$25,0,Financement!AK34)</f>
        <v>20282889.684937589</v>
      </c>
      <c r="AM13" s="24">
        <f>IF(AM$3&gt;Financement!$B$25,0,Financement!AL34)</f>
        <v>19542229.633220524</v>
      </c>
    </row>
    <row r="14" spans="1:39" x14ac:dyDescent="0.2">
      <c r="A14" s="28" t="s">
        <v>440</v>
      </c>
      <c r="C14" s="24">
        <f>Financement!B14</f>
        <v>9000000</v>
      </c>
      <c r="D14" s="24">
        <f>Financement!$B$14</f>
        <v>9000000</v>
      </c>
      <c r="E14" s="24">
        <f>Financement!$B$14</f>
        <v>9000000</v>
      </c>
      <c r="F14" s="24">
        <f>Financement!$B$14</f>
        <v>9000000</v>
      </c>
      <c r="G14" s="24">
        <f>Financement!$B$14</f>
        <v>9000000</v>
      </c>
      <c r="H14" s="24">
        <f>Financement!$B$14</f>
        <v>9000000</v>
      </c>
      <c r="I14" s="24">
        <f>Financement!$B$14</f>
        <v>9000000</v>
      </c>
      <c r="J14" s="24">
        <f>Financement!$B$14</f>
        <v>9000000</v>
      </c>
      <c r="K14" s="24">
        <f>Financement!$B$14</f>
        <v>9000000</v>
      </c>
      <c r="L14" s="24">
        <f>Financement!$B$14</f>
        <v>9000000</v>
      </c>
      <c r="M14" s="24">
        <f>Financement!$B$14</f>
        <v>9000000</v>
      </c>
      <c r="N14" s="24">
        <f>Financement!$B$14</f>
        <v>9000000</v>
      </c>
      <c r="O14" s="24">
        <f>Financement!$B$14</f>
        <v>9000000</v>
      </c>
      <c r="P14" s="24">
        <f>Financement!$B$14</f>
        <v>9000000</v>
      </c>
      <c r="Q14" s="24">
        <f>Financement!$B$14</f>
        <v>9000000</v>
      </c>
      <c r="R14" s="24">
        <f>Financement!$B$14</f>
        <v>9000000</v>
      </c>
      <c r="S14" s="24">
        <f>Financement!$B$14</f>
        <v>9000000</v>
      </c>
      <c r="T14" s="24">
        <f>Financement!$B$14</f>
        <v>9000000</v>
      </c>
      <c r="U14" s="24">
        <f>Financement!$B$14</f>
        <v>9000000</v>
      </c>
      <c r="V14" s="24">
        <f>Financement!$B$14</f>
        <v>9000000</v>
      </c>
      <c r="W14" s="24">
        <f>Financement!$B$14</f>
        <v>9000000</v>
      </c>
      <c r="X14" s="24">
        <f>Financement!$B$14</f>
        <v>9000000</v>
      </c>
      <c r="Y14" s="24">
        <f>Financement!$B$14</f>
        <v>9000000</v>
      </c>
      <c r="Z14" s="24">
        <f>Financement!$B$14</f>
        <v>9000000</v>
      </c>
      <c r="AA14" s="24">
        <f>Financement!$B$14</f>
        <v>9000000</v>
      </c>
      <c r="AB14" s="24">
        <f>Financement!$B$14</f>
        <v>9000000</v>
      </c>
      <c r="AC14" s="24">
        <f>Financement!$B$14</f>
        <v>9000000</v>
      </c>
      <c r="AD14" s="24">
        <f>Financement!$B$14</f>
        <v>9000000</v>
      </c>
      <c r="AE14" s="24">
        <f>Financement!$B$14</f>
        <v>9000000</v>
      </c>
      <c r="AF14" s="24">
        <f>Financement!$B$14</f>
        <v>9000000</v>
      </c>
      <c r="AG14" s="24">
        <f>Financement!$B$14</f>
        <v>9000000</v>
      </c>
      <c r="AH14" s="24">
        <f>Financement!$B$14</f>
        <v>9000000</v>
      </c>
      <c r="AI14" s="24">
        <f>Financement!$B$14</f>
        <v>9000000</v>
      </c>
      <c r="AJ14" s="24">
        <f>Financement!$B$14</f>
        <v>9000000</v>
      </c>
      <c r="AK14" s="24">
        <f>Financement!$B$14</f>
        <v>9000000</v>
      </c>
      <c r="AL14" s="24">
        <f>Financement!$B$14</f>
        <v>9000000</v>
      </c>
      <c r="AM14" s="24">
        <f>Financement!$B$14</f>
        <v>9000000</v>
      </c>
    </row>
    <row r="15" spans="1:39" x14ac:dyDescent="0.2">
      <c r="A15" s="28" t="s">
        <v>441</v>
      </c>
      <c r="C15" s="26">
        <v>0</v>
      </c>
      <c r="D15" s="24">
        <f>SUM('P&amp;L'!B25:B25)</f>
        <v>-2233825.5127666667</v>
      </c>
      <c r="E15" s="24">
        <f>SUM('P&amp;L'!B25:C25)</f>
        <v>-4279504.4404964279</v>
      </c>
      <c r="F15" s="24">
        <f>SUM('P&amp;L'!B25:D25)</f>
        <v>-6263516.0896310061</v>
      </c>
      <c r="G15" s="24">
        <f>SUM('P&amp;L'!B25:E25)</f>
        <v>-8183428.7221956179</v>
      </c>
      <c r="H15" s="24">
        <f>SUM('P&amp;L'!B25:F25)</f>
        <v>-10036679.41451217</v>
      </c>
      <c r="I15" s="24">
        <f>SUM('P&amp;L'!B25:G25)</f>
        <v>-11820567.898074277</v>
      </c>
      <c r="J15" s="24">
        <f>SUM('P&amp;L'!B25:H25)</f>
        <v>-13473126.555029923</v>
      </c>
      <c r="K15" s="24">
        <f>SUM('P&amp;L'!B25:I25)</f>
        <v>-15049301.717208445</v>
      </c>
      <c r="L15" s="24">
        <f>SUM('P&amp;L'!B25:J25)</f>
        <v>-16545917.214959668</v>
      </c>
      <c r="M15" s="24">
        <f>SUM('P&amp;L'!B25:K25)</f>
        <v>-17959631.080725227</v>
      </c>
      <c r="N15" s="24">
        <f>SUM('P&amp;L'!B25:L25)</f>
        <v>-19286927.624665048</v>
      </c>
      <c r="O15" s="24">
        <f>SUM('P&amp;L'!B25:M25)</f>
        <v>-21609440.131310072</v>
      </c>
      <c r="P15" s="24">
        <f>SUM('P&amp;L'!B25:N25)</f>
        <v>-22884677.590857845</v>
      </c>
      <c r="Q15" s="24">
        <f>SUM('P&amp;L'!B25:O25)</f>
        <v>-24064399.570293937</v>
      </c>
      <c r="R15" s="24">
        <f>SUM('P&amp;L'!B25:P25)</f>
        <v>-25144560.865567923</v>
      </c>
      <c r="S15" s="24">
        <f>SUM('P&amp;L'!B25:Q25)</f>
        <v>-26121284.680356335</v>
      </c>
      <c r="T15" s="24">
        <f>SUM('P&amp;L'!B25:R25)</f>
        <v>-26990516.190561809</v>
      </c>
      <c r="U15" s="24">
        <f>SUM('P&amp;L'!B25:S25)</f>
        <v>-27748014.905326255</v>
      </c>
      <c r="V15" s="24">
        <f>SUM('P&amp;L'!B25:T25)</f>
        <v>-28389346.680064145</v>
      </c>
      <c r="W15" s="24">
        <f>SUM('P&amp;L'!B25:U25)</f>
        <v>-28909875.366212435</v>
      </c>
      <c r="X15" s="24">
        <f>SUM('P&amp;L'!B25:V25)</f>
        <v>-29304754.081702914</v>
      </c>
      <c r="Y15" s="24">
        <f>SUM('P&amp;L'!B25:W25)</f>
        <v>-29568916.085441541</v>
      </c>
      <c r="Z15" s="24">
        <f>SUM('P&amp;L'!B25:X25)</f>
        <v>-29697065.238325763</v>
      </c>
      <c r="AA15" s="24">
        <f>SUM('P&amp;L'!B25:Y25)</f>
        <v>-31588017.227640238</v>
      </c>
      <c r="AB15" s="24">
        <f>SUM('P&amp;L'!B25:Z25)</f>
        <v>-32015400.517098874</v>
      </c>
      <c r="AC15" s="24">
        <f>SUM('P&amp;L'!B25:AA25)</f>
        <v>-32309105.836917795</v>
      </c>
      <c r="AD15" s="24">
        <f>SUM('P&amp;L'!B25:AB25)</f>
        <v>-32446508.920179483</v>
      </c>
      <c r="AE15" s="24">
        <f>SUM('P&amp;L'!B25:AC25)</f>
        <v>-32423190.41036028</v>
      </c>
      <c r="AF15" s="24">
        <f>SUM('P&amp;L'!B25:AD25)</f>
        <v>-32234540.185823496</v>
      </c>
      <c r="AG15" s="24">
        <f>SUM('P&amp;L'!B25:AE25)</f>
        <v>-31875751.384749699</v>
      </c>
      <c r="AH15" s="24">
        <f>SUM('P&amp;L'!B25:AF25)</f>
        <v>-31341814.1832707</v>
      </c>
      <c r="AI15" s="24">
        <f>SUM('P&amp;L'!B25:AG25)</f>
        <v>-30627509.318644077</v>
      </c>
      <c r="AJ15" s="24">
        <f>SUM('P&amp;L'!B25:AH25)</f>
        <v>-29727401.348980132</v>
      </c>
      <c r="AK15" s="24">
        <f>SUM('P&amp;L'!B25:AI25)</f>
        <v>-28635831.640697062</v>
      </c>
      <c r="AL15" s="24">
        <f>SUM('P&amp;L'!B25:AJ25)</f>
        <v>-27346911.074532393</v>
      </c>
      <c r="AM15" s="24">
        <f>SUM('P&amp;L'!B25:AK25)</f>
        <v>-29027273.260731742</v>
      </c>
    </row>
    <row r="16" spans="1:39" ht="16" customHeight="1" x14ac:dyDescent="0.2">
      <c r="A16" s="31" t="s">
        <v>442</v>
      </c>
      <c r="C16" s="26">
        <f t="shared" ref="C16:AM16" si="3">C13+C14+C15</f>
        <v>52008307.480000004</v>
      </c>
      <c r="D16" s="26">
        <f t="shared" si="3"/>
        <v>49204262.548979238</v>
      </c>
      <c r="E16" s="26">
        <f t="shared" si="3"/>
        <v>46584087.557358474</v>
      </c>
      <c r="F16" s="26">
        <f t="shared" si="3"/>
        <v>44021271.123853713</v>
      </c>
      <c r="G16" s="26">
        <f t="shared" si="3"/>
        <v>41518212.671036139</v>
      </c>
      <c r="H16" s="26">
        <f t="shared" si="3"/>
        <v>39077442.564814724</v>
      </c>
      <c r="I16" s="26">
        <f t="shared" si="3"/>
        <v>36701628.271743476</v>
      </c>
      <c r="J16" s="26">
        <f t="shared" si="3"/>
        <v>34452704.361707367</v>
      </c>
      <c r="K16" s="26">
        <f t="shared" si="3"/>
        <v>32275691.207050271</v>
      </c>
      <c r="L16" s="26">
        <f t="shared" si="3"/>
        <v>30173731.43187689</v>
      </c>
      <c r="M16" s="26">
        <f t="shared" si="3"/>
        <v>28150133.206608508</v>
      </c>
      <c r="N16" s="26">
        <f t="shared" si="3"/>
        <v>26208378.170469593</v>
      </c>
      <c r="O16" s="26">
        <f t="shared" si="3"/>
        <v>23266798.732933979</v>
      </c>
      <c r="P16" s="26">
        <f t="shared" si="3"/>
        <v>21367851.340513941</v>
      </c>
      <c r="Q16" s="26">
        <f t="shared" si="3"/>
        <v>19559741.603709038</v>
      </c>
      <c r="R16" s="26">
        <f t="shared" si="3"/>
        <v>17846479.642885976</v>
      </c>
      <c r="S16" s="26">
        <f t="shared" si="3"/>
        <v>16231906.907556865</v>
      </c>
      <c r="T16" s="26">
        <f t="shared" si="3"/>
        <v>14720042.609906651</v>
      </c>
      <c r="U16" s="26">
        <f t="shared" si="3"/>
        <v>13315091.361791618</v>
      </c>
      <c r="V16" s="26">
        <f t="shared" si="3"/>
        <v>12021451.159703013</v>
      </c>
      <c r="W16" s="26">
        <f t="shared" si="3"/>
        <v>10843721.732998878</v>
      </c>
      <c r="X16" s="26">
        <f t="shared" si="3"/>
        <v>9786713.2713983841</v>
      </c>
      <c r="Y16" s="26">
        <f t="shared" si="3"/>
        <v>8855455.5484539159</v>
      </c>
      <c r="Z16" s="26">
        <f t="shared" si="3"/>
        <v>8055207.4584698193</v>
      </c>
      <c r="AA16" s="26">
        <f t="shared" si="3"/>
        <v>5487115.7900272049</v>
      </c>
      <c r="AB16" s="26">
        <f t="shared" si="3"/>
        <v>4377514.2738469839</v>
      </c>
      <c r="AC16" s="26">
        <f t="shared" si="3"/>
        <v>3396474.0906060562</v>
      </c>
      <c r="AD16" s="26">
        <f t="shared" si="3"/>
        <v>2566581.1324466951</v>
      </c>
      <c r="AE16" s="26">
        <f t="shared" si="3"/>
        <v>1892216.0933065005</v>
      </c>
      <c r="AF16" s="26">
        <f t="shared" si="3"/>
        <v>1377950.142266687</v>
      </c>
      <c r="AG16" s="26">
        <f t="shared" si="3"/>
        <v>1028550.8964470625</v>
      </c>
      <c r="AH16" s="26">
        <f t="shared" si="3"/>
        <v>848988.64068093896</v>
      </c>
      <c r="AI16" s="26">
        <f t="shared" si="3"/>
        <v>844442.80213310197</v>
      </c>
      <c r="AJ16" s="26">
        <f t="shared" si="3"/>
        <v>1020308.6883487776</v>
      </c>
      <c r="AK16" s="26">
        <f t="shared" si="3"/>
        <v>1382204.4975577146</v>
      </c>
      <c r="AL16" s="26">
        <f t="shared" si="3"/>
        <v>1935978.6104051955</v>
      </c>
      <c r="AM16" s="26">
        <f t="shared" si="3"/>
        <v>-485043.62751121819</v>
      </c>
    </row>
    <row r="18" spans="1:39" ht="16" customHeight="1" x14ac:dyDescent="0.2">
      <c r="A18" s="31" t="s">
        <v>443</v>
      </c>
      <c r="C18" s="26">
        <f t="shared" ref="C18:AM18" si="4">C10-C16</f>
        <v>0</v>
      </c>
      <c r="D18" s="26">
        <f t="shared" si="4"/>
        <v>0</v>
      </c>
      <c r="E18" s="26">
        <f t="shared" si="4"/>
        <v>0</v>
      </c>
      <c r="F18" s="26">
        <f t="shared" si="4"/>
        <v>0</v>
      </c>
      <c r="G18" s="26">
        <f t="shared" si="4"/>
        <v>0</v>
      </c>
      <c r="H18" s="26">
        <f t="shared" si="4"/>
        <v>0</v>
      </c>
      <c r="I18" s="26">
        <f t="shared" si="4"/>
        <v>0</v>
      </c>
      <c r="J18" s="26">
        <f t="shared" si="4"/>
        <v>0</v>
      </c>
      <c r="K18" s="26">
        <f t="shared" si="4"/>
        <v>0</v>
      </c>
      <c r="L18" s="26">
        <f t="shared" si="4"/>
        <v>0</v>
      </c>
      <c r="M18" s="26">
        <f t="shared" si="4"/>
        <v>0</v>
      </c>
      <c r="N18" s="26">
        <f t="shared" si="4"/>
        <v>0</v>
      </c>
      <c r="O18" s="26">
        <f t="shared" si="4"/>
        <v>0</v>
      </c>
      <c r="P18" s="26">
        <f t="shared" si="4"/>
        <v>0</v>
      </c>
      <c r="Q18" s="26">
        <f t="shared" si="4"/>
        <v>0</v>
      </c>
      <c r="R18" s="26">
        <f t="shared" si="4"/>
        <v>0</v>
      </c>
      <c r="S18" s="26">
        <f t="shared" si="4"/>
        <v>0</v>
      </c>
      <c r="T18" s="26">
        <f t="shared" si="4"/>
        <v>0</v>
      </c>
      <c r="U18" s="26">
        <f t="shared" si="4"/>
        <v>0</v>
      </c>
      <c r="V18" s="26">
        <f t="shared" si="4"/>
        <v>0</v>
      </c>
      <c r="W18" s="26">
        <f t="shared" si="4"/>
        <v>0</v>
      </c>
      <c r="X18" s="26">
        <f t="shared" si="4"/>
        <v>0</v>
      </c>
      <c r="Y18" s="26">
        <f t="shared" si="4"/>
        <v>0</v>
      </c>
      <c r="Z18" s="26">
        <f t="shared" si="4"/>
        <v>-7.4505805969238281E-9</v>
      </c>
      <c r="AA18" s="26">
        <f t="shared" si="4"/>
        <v>0</v>
      </c>
      <c r="AB18" s="26">
        <f t="shared" si="4"/>
        <v>-9.3132257461547852E-9</v>
      </c>
      <c r="AC18" s="26">
        <f t="shared" si="4"/>
        <v>-8.8475644588470459E-9</v>
      </c>
      <c r="AD18" s="26">
        <f t="shared" si="4"/>
        <v>-5.5879354476928711E-9</v>
      </c>
      <c r="AE18" s="26">
        <f t="shared" si="4"/>
        <v>-1.0244548320770264E-8</v>
      </c>
      <c r="AF18" s="26">
        <f t="shared" si="4"/>
        <v>-9.3132257461547852E-9</v>
      </c>
      <c r="AG18" s="26">
        <f t="shared" si="4"/>
        <v>-9.5460563898086548E-9</v>
      </c>
      <c r="AH18" s="26">
        <f t="shared" si="4"/>
        <v>-1.1175870895385742E-8</v>
      </c>
      <c r="AI18" s="26">
        <f t="shared" si="4"/>
        <v>-1.234002411365509E-8</v>
      </c>
      <c r="AJ18" s="26">
        <f t="shared" si="4"/>
        <v>-1.1641532182693481E-8</v>
      </c>
      <c r="AK18" s="26">
        <f t="shared" si="4"/>
        <v>-1.0477378964424133E-8</v>
      </c>
      <c r="AL18" s="26">
        <f t="shared" si="4"/>
        <v>-8.8475644588470459E-9</v>
      </c>
      <c r="AM18" s="26">
        <f t="shared" si="4"/>
        <v>-1.1175870895385742E-8</v>
      </c>
    </row>
    <row r="19" spans="1:39" x14ac:dyDescent="0.2">
      <c r="A19" s="28" t="s">
        <v>444</v>
      </c>
      <c r="C19" s="32" t="str">
        <f t="shared" ref="C19:AM19" si="5">IF(ABS(C18)&lt;1,"OK","ÉCART")</f>
        <v>OK</v>
      </c>
      <c r="D19" s="32" t="str">
        <f t="shared" si="5"/>
        <v>OK</v>
      </c>
      <c r="E19" s="32" t="str">
        <f t="shared" si="5"/>
        <v>OK</v>
      </c>
      <c r="F19" s="32" t="str">
        <f t="shared" si="5"/>
        <v>OK</v>
      </c>
      <c r="G19" s="32" t="str">
        <f t="shared" si="5"/>
        <v>OK</v>
      </c>
      <c r="H19" s="32" t="str">
        <f t="shared" si="5"/>
        <v>OK</v>
      </c>
      <c r="I19" s="32" t="str">
        <f t="shared" si="5"/>
        <v>OK</v>
      </c>
      <c r="J19" s="32" t="str">
        <f t="shared" si="5"/>
        <v>OK</v>
      </c>
      <c r="K19" s="32" t="str">
        <f t="shared" si="5"/>
        <v>OK</v>
      </c>
      <c r="L19" s="32" t="str">
        <f t="shared" si="5"/>
        <v>OK</v>
      </c>
      <c r="M19" s="32" t="str">
        <f t="shared" si="5"/>
        <v>OK</v>
      </c>
      <c r="N19" s="32" t="str">
        <f t="shared" si="5"/>
        <v>OK</v>
      </c>
      <c r="O19" s="32" t="str">
        <f t="shared" si="5"/>
        <v>OK</v>
      </c>
      <c r="P19" s="32" t="str">
        <f t="shared" si="5"/>
        <v>OK</v>
      </c>
      <c r="Q19" s="32" t="str">
        <f t="shared" si="5"/>
        <v>OK</v>
      </c>
      <c r="R19" s="32" t="str">
        <f t="shared" si="5"/>
        <v>OK</v>
      </c>
      <c r="S19" s="32" t="str">
        <f t="shared" si="5"/>
        <v>OK</v>
      </c>
      <c r="T19" s="32" t="str">
        <f t="shared" si="5"/>
        <v>OK</v>
      </c>
      <c r="U19" s="32" t="str">
        <f t="shared" si="5"/>
        <v>OK</v>
      </c>
      <c r="V19" s="32" t="str">
        <f t="shared" si="5"/>
        <v>OK</v>
      </c>
      <c r="W19" s="32" t="str">
        <f t="shared" si="5"/>
        <v>OK</v>
      </c>
      <c r="X19" s="32" t="str">
        <f t="shared" si="5"/>
        <v>OK</v>
      </c>
      <c r="Y19" s="32" t="str">
        <f t="shared" si="5"/>
        <v>OK</v>
      </c>
      <c r="Z19" s="32" t="str">
        <f t="shared" si="5"/>
        <v>OK</v>
      </c>
      <c r="AA19" s="32" t="str">
        <f t="shared" si="5"/>
        <v>OK</v>
      </c>
      <c r="AB19" s="32" t="str">
        <f t="shared" si="5"/>
        <v>OK</v>
      </c>
      <c r="AC19" s="32" t="str">
        <f t="shared" si="5"/>
        <v>OK</v>
      </c>
      <c r="AD19" s="32" t="str">
        <f t="shared" si="5"/>
        <v>OK</v>
      </c>
      <c r="AE19" s="32" t="str">
        <f t="shared" si="5"/>
        <v>OK</v>
      </c>
      <c r="AF19" s="32" t="str">
        <f t="shared" si="5"/>
        <v>OK</v>
      </c>
      <c r="AG19" s="32" t="str">
        <f t="shared" si="5"/>
        <v>OK</v>
      </c>
      <c r="AH19" s="32" t="str">
        <f t="shared" si="5"/>
        <v>OK</v>
      </c>
      <c r="AI19" s="32" t="str">
        <f t="shared" si="5"/>
        <v>OK</v>
      </c>
      <c r="AJ19" s="32" t="str">
        <f t="shared" si="5"/>
        <v>OK</v>
      </c>
      <c r="AK19" s="32" t="str">
        <f t="shared" si="5"/>
        <v>OK</v>
      </c>
      <c r="AL19" s="32" t="str">
        <f t="shared" si="5"/>
        <v>OK</v>
      </c>
      <c r="AM19" s="32" t="str">
        <f t="shared" si="5"/>
        <v>OK</v>
      </c>
    </row>
    <row r="21" spans="1:39" ht="36" customHeight="1" x14ac:dyDescent="0.2">
      <c r="A21" s="113" t="s">
        <v>445</v>
      </c>
      <c r="B21" s="112"/>
      <c r="C21" s="112"/>
      <c r="D21" s="112"/>
      <c r="E21" s="112"/>
      <c r="F21" s="112"/>
      <c r="G21" s="112"/>
    </row>
  </sheetData>
  <mergeCells count="2">
    <mergeCell ref="A1:AM1"/>
    <mergeCell ref="A21:G21"/>
  </mergeCells>
  <conditionalFormatting sqref="C18:AM18">
    <cfRule type="expression" dxfId="0" priority="1">
      <formula>ABS(C18)&gt;1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8"/>
  <sheetViews>
    <sheetView showGridLines="0" zoomScaleNormal="100" workbookViewId="0">
      <selection activeCell="F25" sqref="F25"/>
    </sheetView>
  </sheetViews>
  <sheetFormatPr baseColWidth="10" defaultColWidth="8.83203125" defaultRowHeight="15" x14ac:dyDescent="0.2"/>
  <cols>
    <col min="1" max="1" width="30" customWidth="1"/>
    <col min="2" max="2" width="22" customWidth="1"/>
    <col min="3" max="13" width="14" customWidth="1"/>
  </cols>
  <sheetData>
    <row r="1" spans="1:13" ht="22" customHeight="1" x14ac:dyDescent="0.25">
      <c r="A1" s="6" t="s">
        <v>446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3" ht="15" customHeight="1" x14ac:dyDescent="0.2">
      <c r="A3" s="12" t="s">
        <v>447</v>
      </c>
      <c r="B3" s="12" t="s">
        <v>448</v>
      </c>
      <c r="C3" s="12" t="s">
        <v>449</v>
      </c>
      <c r="D3" s="12" t="s">
        <v>450</v>
      </c>
      <c r="E3" s="12" t="s">
        <v>451</v>
      </c>
      <c r="F3" s="12" t="s">
        <v>275</v>
      </c>
      <c r="G3" s="12" t="s">
        <v>452</v>
      </c>
      <c r="H3" s="12" t="s">
        <v>453</v>
      </c>
      <c r="I3" s="12" t="s">
        <v>421</v>
      </c>
      <c r="J3" s="12" t="s">
        <v>422</v>
      </c>
      <c r="K3" s="12" t="s">
        <v>423</v>
      </c>
      <c r="L3" s="12" t="s">
        <v>454</v>
      </c>
      <c r="M3" s="12" t="s">
        <v>455</v>
      </c>
    </row>
    <row r="4" spans="1:13" ht="15" customHeight="1" x14ac:dyDescent="0.2">
      <c r="A4" s="11" t="s">
        <v>456</v>
      </c>
      <c r="B4" s="11" t="s">
        <v>457</v>
      </c>
      <c r="C4" s="33">
        <f>Parametres!$B$133</f>
        <v>1</v>
      </c>
      <c r="D4" s="33">
        <f>Parametres!$C$133</f>
        <v>900000</v>
      </c>
      <c r="E4" s="33">
        <f>Parametres!$D$133</f>
        <v>900000</v>
      </c>
      <c r="F4" s="33">
        <f>Parametres!$E$133</f>
        <v>5</v>
      </c>
      <c r="G4" s="34">
        <f>E4/F4</f>
        <v>180000</v>
      </c>
      <c r="H4" s="34">
        <f>G4/12</f>
        <v>15000</v>
      </c>
      <c r="I4" s="34">
        <f>G4</f>
        <v>180000</v>
      </c>
      <c r="J4" s="34">
        <f>G4</f>
        <v>180000</v>
      </c>
      <c r="K4" s="34">
        <f>G4</f>
        <v>180000</v>
      </c>
      <c r="L4" s="34">
        <f>SUM(I4:K4)</f>
        <v>540000</v>
      </c>
      <c r="M4" s="34">
        <f>E4-L4</f>
        <v>360000</v>
      </c>
    </row>
    <row r="5" spans="1:13" ht="15" customHeight="1" x14ac:dyDescent="0.2">
      <c r="A5" s="11" t="s">
        <v>458</v>
      </c>
      <c r="B5" s="11" t="s">
        <v>459</v>
      </c>
      <c r="C5" s="33">
        <f>Parametres!$B$134</f>
        <v>1</v>
      </c>
      <c r="D5" s="33">
        <f>Parametres!$C$134</f>
        <v>4000000</v>
      </c>
      <c r="E5" s="33">
        <f>Parametres!$D$134</f>
        <v>4000000</v>
      </c>
      <c r="F5" s="33">
        <f>Parametres!$E$134</f>
        <v>5</v>
      </c>
      <c r="G5" s="34">
        <f>E5/F5</f>
        <v>800000</v>
      </c>
      <c r="H5" s="34">
        <f>G5/12</f>
        <v>66666.666666666672</v>
      </c>
      <c r="I5" s="34">
        <f>G5</f>
        <v>800000</v>
      </c>
      <c r="J5" s="34">
        <f>G5</f>
        <v>800000</v>
      </c>
      <c r="K5" s="34">
        <f>G5</f>
        <v>800000</v>
      </c>
      <c r="L5" s="34">
        <f>SUM(I5:K5)</f>
        <v>2400000</v>
      </c>
      <c r="M5" s="34">
        <f>E5-L5</f>
        <v>1600000</v>
      </c>
    </row>
    <row r="6" spans="1:13" ht="15" customHeight="1" x14ac:dyDescent="0.2">
      <c r="A6" s="17" t="s">
        <v>460</v>
      </c>
      <c r="C6" s="3"/>
      <c r="D6" s="3"/>
      <c r="E6" s="35">
        <f>SUM(E4:E5)</f>
        <v>4900000</v>
      </c>
      <c r="F6" s="4"/>
      <c r="G6" s="35">
        <f t="shared" ref="G6:M6" si="0">SUM(G4:G5)</f>
        <v>980000</v>
      </c>
      <c r="H6" s="35">
        <f t="shared" si="0"/>
        <v>81666.666666666672</v>
      </c>
      <c r="I6" s="35">
        <f t="shared" si="0"/>
        <v>980000</v>
      </c>
      <c r="J6" s="35">
        <f t="shared" si="0"/>
        <v>980000</v>
      </c>
      <c r="K6" s="35">
        <f t="shared" si="0"/>
        <v>980000</v>
      </c>
      <c r="L6" s="35">
        <f t="shared" si="0"/>
        <v>2940000</v>
      </c>
      <c r="M6" s="35">
        <f t="shared" si="0"/>
        <v>1960000</v>
      </c>
    </row>
    <row r="8" spans="1:13" ht="15" customHeight="1" x14ac:dyDescent="0.2">
      <c r="A8" s="11" t="s">
        <v>461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N50"/>
  <sheetViews>
    <sheetView showGridLines="0" tabSelected="1" zoomScaleNormal="100" workbookViewId="0">
      <selection activeCell="A7" sqref="A7"/>
    </sheetView>
  </sheetViews>
  <sheetFormatPr baseColWidth="10" defaultColWidth="8.83203125" defaultRowHeight="15" x14ac:dyDescent="0.2"/>
  <cols>
    <col min="1" max="1" width="84" customWidth="1"/>
    <col min="2" max="2" width="16" customWidth="1"/>
    <col min="3" max="38" width="11" customWidth="1"/>
  </cols>
  <sheetData>
    <row r="1" spans="1:40" ht="22" customHeight="1" x14ac:dyDescent="0.25">
      <c r="A1" s="49" t="s">
        <v>462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39"/>
      <c r="AN1" s="39"/>
    </row>
    <row r="2" spans="1:40" x14ac:dyDescent="0.2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</row>
    <row r="3" spans="1:40" ht="18" customHeight="1" x14ac:dyDescent="0.2">
      <c r="A3" s="40" t="s">
        <v>463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39"/>
      <c r="AN3" s="39"/>
    </row>
    <row r="4" spans="1:40" x14ac:dyDescent="0.2">
      <c r="A4" s="39" t="s">
        <v>464</v>
      </c>
      <c r="B4" s="58">
        <f>Parametres!$D$135*(1+IF(Parametres!$B$158=1,Parametres!$B$162,0))</f>
        <v>4900000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</row>
    <row r="5" spans="1:40" x14ac:dyDescent="0.2">
      <c r="A5" s="39" t="s">
        <v>465</v>
      </c>
      <c r="B5" s="58">
        <f>Parametres!$D$121+Parametres!$D$63</f>
        <v>2805583</v>
      </c>
      <c r="C5" s="102" t="s">
        <v>466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</row>
    <row r="6" spans="1:40" x14ac:dyDescent="0.2">
      <c r="A6" s="39" t="s">
        <v>467</v>
      </c>
      <c r="B6" s="58">
        <f>-'P&amp;L'!B7</f>
        <v>418713.54</v>
      </c>
      <c r="C6" s="102" t="s">
        <v>468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</row>
    <row r="7" spans="1:40" x14ac:dyDescent="0.2">
      <c r="A7" s="39" t="s">
        <v>469</v>
      </c>
      <c r="B7" s="43">
        <f>Parametres!$D$140</f>
        <v>12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</row>
    <row r="8" spans="1:40" x14ac:dyDescent="0.2">
      <c r="A8" s="37" t="s">
        <v>470</v>
      </c>
      <c r="B8" s="95">
        <f>B7*(B5+B6)</f>
        <v>38691558.480000004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</row>
    <row r="9" spans="1:40" x14ac:dyDescent="0.2">
      <c r="A9" s="39" t="s">
        <v>471</v>
      </c>
      <c r="B9" s="43">
        <f>Parametres!$D$141</f>
        <v>3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</row>
    <row r="10" spans="1:40" x14ac:dyDescent="0.2">
      <c r="A10" s="37" t="s">
        <v>472</v>
      </c>
      <c r="B10" s="95">
        <f>B9*B5</f>
        <v>8416749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</row>
    <row r="11" spans="1:40" x14ac:dyDescent="0.2">
      <c r="A11" s="62" t="s">
        <v>473</v>
      </c>
      <c r="B11" s="79">
        <f>B4+B8+B10</f>
        <v>52008307.480000004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</row>
    <row r="12" spans="1:40" x14ac:dyDescent="0.2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</row>
    <row r="13" spans="1:40" ht="18" customHeight="1" x14ac:dyDescent="0.2">
      <c r="A13" s="40" t="s">
        <v>474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39"/>
      <c r="AN13" s="39"/>
    </row>
    <row r="14" spans="1:40" x14ac:dyDescent="0.2">
      <c r="A14" s="39" t="s">
        <v>475</v>
      </c>
      <c r="B14" s="58">
        <f>Parametres!$D$139</f>
        <v>9000000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</row>
    <row r="15" spans="1:40" x14ac:dyDescent="0.2">
      <c r="A15" s="37" t="s">
        <v>476</v>
      </c>
      <c r="B15" s="95">
        <f>MAX(B11-B14,0)</f>
        <v>43008307.480000004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</row>
    <row r="16" spans="1:40" x14ac:dyDescent="0.2">
      <c r="A16" s="62" t="s">
        <v>477</v>
      </c>
      <c r="B16" s="79">
        <f>B14+B15</f>
        <v>52008307.480000004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</row>
    <row r="17" spans="1:40" x14ac:dyDescent="0.2">
      <c r="A17" s="39" t="s">
        <v>478</v>
      </c>
      <c r="B17" s="60">
        <f>IF(B16=0,0,B15/B16)</f>
        <v>0.8269507231424329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</row>
    <row r="18" spans="1:40" x14ac:dyDescent="0.2">
      <c r="A18" s="37" t="s">
        <v>479</v>
      </c>
      <c r="B18" s="95">
        <f>B11-B14</f>
        <v>43008307.480000004</v>
      </c>
      <c r="C18" s="102" t="s">
        <v>480</v>
      </c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</row>
    <row r="19" spans="1:40" x14ac:dyDescent="0.2">
      <c r="A19" s="39" t="s">
        <v>481</v>
      </c>
      <c r="B19" s="58">
        <f>B18*Parametres!$D$145</f>
        <v>12902492.244000001</v>
      </c>
      <c r="C19" s="102" t="s">
        <v>482</v>
      </c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</row>
    <row r="20" spans="1:40" x14ac:dyDescent="0.2">
      <c r="A20" s="39" t="s">
        <v>483</v>
      </c>
      <c r="B20" s="66">
        <f>B18-B19</f>
        <v>30105815.236000001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</row>
    <row r="21" spans="1:40" x14ac:dyDescent="0.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</row>
    <row r="22" spans="1:40" ht="18" customHeight="1" x14ac:dyDescent="0.2">
      <c r="A22" s="40" t="s">
        <v>484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39"/>
      <c r="AN22" s="39"/>
    </row>
    <row r="23" spans="1:40" x14ac:dyDescent="0.2">
      <c r="A23" s="39" t="s">
        <v>485</v>
      </c>
      <c r="B23" s="66">
        <f>B15</f>
        <v>43008307.480000004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</row>
    <row r="24" spans="1:40" x14ac:dyDescent="0.2">
      <c r="A24" s="39" t="s">
        <v>486</v>
      </c>
      <c r="B24" s="42">
        <f>Parametres!$D$143</f>
        <v>0.09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</row>
    <row r="25" spans="1:40" x14ac:dyDescent="0.2">
      <c r="A25" s="39" t="s">
        <v>487</v>
      </c>
      <c r="B25" s="43">
        <f>Parametres!$D$144</f>
        <v>60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</row>
    <row r="26" spans="1:40" x14ac:dyDescent="0.2">
      <c r="A26" s="39" t="s">
        <v>488</v>
      </c>
      <c r="B26" s="66">
        <f>IF(B23=0,0,-PMT(B24/12,B25,B23))</f>
        <v>892781.72435409832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</row>
    <row r="27" spans="1:40" x14ac:dyDescent="0.2">
      <c r="A27" s="39" t="s">
        <v>489</v>
      </c>
      <c r="B27" s="66">
        <f>B32</f>
        <v>8674064.2299680468</v>
      </c>
      <c r="C27" s="102" t="s">
        <v>490</v>
      </c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</row>
    <row r="28" spans="1:40" x14ac:dyDescent="0.2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</row>
    <row r="29" spans="1:40" ht="18" customHeight="1" x14ac:dyDescent="0.2">
      <c r="A29" s="40" t="s">
        <v>491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39"/>
      <c r="AN29" s="39"/>
    </row>
    <row r="30" spans="1:40" x14ac:dyDescent="0.2">
      <c r="A30" s="103" t="s">
        <v>333</v>
      </c>
      <c r="B30" s="103" t="s">
        <v>460</v>
      </c>
      <c r="C30" s="104">
        <v>1</v>
      </c>
      <c r="D30" s="104">
        <v>2</v>
      </c>
      <c r="E30" s="104">
        <v>3</v>
      </c>
      <c r="F30" s="104">
        <v>4</v>
      </c>
      <c r="G30" s="104">
        <v>5</v>
      </c>
      <c r="H30" s="104">
        <v>6</v>
      </c>
      <c r="I30" s="104">
        <v>7</v>
      </c>
      <c r="J30" s="104">
        <v>8</v>
      </c>
      <c r="K30" s="104">
        <v>9</v>
      </c>
      <c r="L30" s="104">
        <v>10</v>
      </c>
      <c r="M30" s="104">
        <v>11</v>
      </c>
      <c r="N30" s="104">
        <v>12</v>
      </c>
      <c r="O30" s="104">
        <v>13</v>
      </c>
      <c r="P30" s="104">
        <v>14</v>
      </c>
      <c r="Q30" s="104">
        <v>15</v>
      </c>
      <c r="R30" s="104">
        <v>16</v>
      </c>
      <c r="S30" s="104">
        <v>17</v>
      </c>
      <c r="T30" s="104">
        <v>18</v>
      </c>
      <c r="U30" s="104">
        <v>19</v>
      </c>
      <c r="V30" s="104">
        <v>20</v>
      </c>
      <c r="W30" s="104">
        <v>21</v>
      </c>
      <c r="X30" s="104">
        <v>22</v>
      </c>
      <c r="Y30" s="104">
        <v>23</v>
      </c>
      <c r="Z30" s="104">
        <v>24</v>
      </c>
      <c r="AA30" s="104">
        <v>25</v>
      </c>
      <c r="AB30" s="104">
        <v>26</v>
      </c>
      <c r="AC30" s="104">
        <v>27</v>
      </c>
      <c r="AD30" s="104">
        <v>28</v>
      </c>
      <c r="AE30" s="104">
        <v>29</v>
      </c>
      <c r="AF30" s="104">
        <v>30</v>
      </c>
      <c r="AG30" s="104">
        <v>31</v>
      </c>
      <c r="AH30" s="104">
        <v>32</v>
      </c>
      <c r="AI30" s="104">
        <v>33</v>
      </c>
      <c r="AJ30" s="104">
        <v>34</v>
      </c>
      <c r="AK30" s="104">
        <v>35</v>
      </c>
      <c r="AL30" s="104">
        <v>36</v>
      </c>
      <c r="AM30" s="39"/>
      <c r="AN30" s="39"/>
    </row>
    <row r="31" spans="1:40" x14ac:dyDescent="0.2">
      <c r="A31" s="37" t="s">
        <v>492</v>
      </c>
      <c r="B31" s="105">
        <f>SUM(C31:AL31)</f>
        <v>32140142.076747555</v>
      </c>
      <c r="C31" s="106">
        <f t="shared" ref="C31:AL31" si="0">IF(C$30&gt;$B$25,0,-PMT($B$24/12,$B$25,$B$23))</f>
        <v>892781.72435409832</v>
      </c>
      <c r="D31" s="106">
        <f t="shared" si="0"/>
        <v>892781.72435409832</v>
      </c>
      <c r="E31" s="106">
        <f t="shared" si="0"/>
        <v>892781.72435409832</v>
      </c>
      <c r="F31" s="106">
        <f t="shared" si="0"/>
        <v>892781.72435409832</v>
      </c>
      <c r="G31" s="106">
        <f t="shared" si="0"/>
        <v>892781.72435409832</v>
      </c>
      <c r="H31" s="106">
        <f t="shared" si="0"/>
        <v>892781.72435409832</v>
      </c>
      <c r="I31" s="106">
        <f t="shared" si="0"/>
        <v>892781.72435409832</v>
      </c>
      <c r="J31" s="106">
        <f t="shared" si="0"/>
        <v>892781.72435409832</v>
      </c>
      <c r="K31" s="106">
        <f t="shared" si="0"/>
        <v>892781.72435409832</v>
      </c>
      <c r="L31" s="106">
        <f t="shared" si="0"/>
        <v>892781.72435409832</v>
      </c>
      <c r="M31" s="106">
        <f t="shared" si="0"/>
        <v>892781.72435409832</v>
      </c>
      <c r="N31" s="106">
        <f t="shared" si="0"/>
        <v>892781.72435409832</v>
      </c>
      <c r="O31" s="106">
        <f t="shared" si="0"/>
        <v>892781.72435409832</v>
      </c>
      <c r="P31" s="106">
        <f t="shared" si="0"/>
        <v>892781.72435409832</v>
      </c>
      <c r="Q31" s="106">
        <f t="shared" si="0"/>
        <v>892781.72435409832</v>
      </c>
      <c r="R31" s="106">
        <f t="shared" si="0"/>
        <v>892781.72435409832</v>
      </c>
      <c r="S31" s="106">
        <f t="shared" si="0"/>
        <v>892781.72435409832</v>
      </c>
      <c r="T31" s="106">
        <f t="shared" si="0"/>
        <v>892781.72435409832</v>
      </c>
      <c r="U31" s="106">
        <f t="shared" si="0"/>
        <v>892781.72435409832</v>
      </c>
      <c r="V31" s="106">
        <f t="shared" si="0"/>
        <v>892781.72435409832</v>
      </c>
      <c r="W31" s="106">
        <f t="shared" si="0"/>
        <v>892781.72435409832</v>
      </c>
      <c r="X31" s="106">
        <f t="shared" si="0"/>
        <v>892781.72435409832</v>
      </c>
      <c r="Y31" s="106">
        <f t="shared" si="0"/>
        <v>892781.72435409832</v>
      </c>
      <c r="Z31" s="106">
        <f t="shared" si="0"/>
        <v>892781.72435409832</v>
      </c>
      <c r="AA31" s="106">
        <f t="shared" si="0"/>
        <v>892781.72435409832</v>
      </c>
      <c r="AB31" s="106">
        <f t="shared" si="0"/>
        <v>892781.72435409832</v>
      </c>
      <c r="AC31" s="106">
        <f t="shared" si="0"/>
        <v>892781.72435409832</v>
      </c>
      <c r="AD31" s="106">
        <f t="shared" si="0"/>
        <v>892781.72435409832</v>
      </c>
      <c r="AE31" s="106">
        <f t="shared" si="0"/>
        <v>892781.72435409832</v>
      </c>
      <c r="AF31" s="106">
        <f t="shared" si="0"/>
        <v>892781.72435409832</v>
      </c>
      <c r="AG31" s="106">
        <f t="shared" si="0"/>
        <v>892781.72435409832</v>
      </c>
      <c r="AH31" s="106">
        <f t="shared" si="0"/>
        <v>892781.72435409832</v>
      </c>
      <c r="AI31" s="106">
        <f t="shared" si="0"/>
        <v>892781.72435409832</v>
      </c>
      <c r="AJ31" s="106">
        <f t="shared" si="0"/>
        <v>892781.72435409832</v>
      </c>
      <c r="AK31" s="106">
        <f t="shared" si="0"/>
        <v>892781.72435409832</v>
      </c>
      <c r="AL31" s="106">
        <f t="shared" si="0"/>
        <v>892781.72435409832</v>
      </c>
      <c r="AM31" s="39"/>
      <c r="AN31" s="39"/>
    </row>
    <row r="32" spans="1:40" x14ac:dyDescent="0.2">
      <c r="A32" s="39" t="s">
        <v>493</v>
      </c>
      <c r="B32" s="105">
        <f>SUM(C32:AL32)</f>
        <v>8674064.2299680468</v>
      </c>
      <c r="C32" s="106">
        <f t="shared" ref="C32:AL32" si="1">IF(C$30&gt;$B$25,0,-IPMT($B$24/12,C$30,$B$25,$B$23))</f>
        <v>322562.30610000005</v>
      </c>
      <c r="D32" s="106">
        <f t="shared" si="1"/>
        <v>318285.66046309425</v>
      </c>
      <c r="E32" s="106">
        <f t="shared" si="1"/>
        <v>313976.93998391175</v>
      </c>
      <c r="F32" s="106">
        <f t="shared" si="1"/>
        <v>309635.90410113533</v>
      </c>
      <c r="G32" s="106">
        <f t="shared" si="1"/>
        <v>305262.31044923817</v>
      </c>
      <c r="H32" s="106">
        <f t="shared" si="1"/>
        <v>300855.91484495171</v>
      </c>
      <c r="I32" s="106">
        <f t="shared" si="1"/>
        <v>296416.47127363307</v>
      </c>
      <c r="J32" s="106">
        <f t="shared" si="1"/>
        <v>291943.73187552957</v>
      </c>
      <c r="K32" s="106">
        <f t="shared" si="1"/>
        <v>287437.44693194039</v>
      </c>
      <c r="L32" s="106">
        <f t="shared" si="1"/>
        <v>282897.36485127418</v>
      </c>
      <c r="M32" s="106">
        <f t="shared" si="1"/>
        <v>278323.23215500294</v>
      </c>
      <c r="N32" s="106">
        <f t="shared" si="1"/>
        <v>273714.79346350982</v>
      </c>
      <c r="O32" s="106">
        <f t="shared" si="1"/>
        <v>269071.7914818303</v>
      </c>
      <c r="P32" s="106">
        <f t="shared" si="1"/>
        <v>264393.96698528837</v>
      </c>
      <c r="Q32" s="106">
        <f t="shared" si="1"/>
        <v>259681.05880502224</v>
      </c>
      <c r="R32" s="106">
        <f t="shared" si="1"/>
        <v>254932.80381340417</v>
      </c>
      <c r="S32" s="106">
        <f t="shared" si="1"/>
        <v>250148.93690934897</v>
      </c>
      <c r="T32" s="106">
        <f t="shared" si="1"/>
        <v>245329.19100351338</v>
      </c>
      <c r="U32" s="106">
        <f t="shared" si="1"/>
        <v>240473.29700338395</v>
      </c>
      <c r="V32" s="106">
        <f t="shared" si="1"/>
        <v>235580.98379825364</v>
      </c>
      <c r="W32" s="106">
        <f t="shared" si="1"/>
        <v>230651.97824408475</v>
      </c>
      <c r="X32" s="106">
        <f t="shared" si="1"/>
        <v>225686.00514825969</v>
      </c>
      <c r="Y32" s="106">
        <f t="shared" si="1"/>
        <v>220682.78725421589</v>
      </c>
      <c r="Z32" s="106">
        <f t="shared" si="1"/>
        <v>215642.04522596678</v>
      </c>
      <c r="AA32" s="106">
        <f t="shared" si="1"/>
        <v>210563.49763250578</v>
      </c>
      <c r="AB32" s="106">
        <f t="shared" si="1"/>
        <v>205446.86093209384</v>
      </c>
      <c r="AC32" s="106">
        <f t="shared" si="1"/>
        <v>200291.84945642878</v>
      </c>
      <c r="AD32" s="106">
        <f t="shared" si="1"/>
        <v>195098.1753946963</v>
      </c>
      <c r="AE32" s="106">
        <f t="shared" si="1"/>
        <v>189865.54877750078</v>
      </c>
      <c r="AF32" s="106">
        <f t="shared" si="1"/>
        <v>184593.67746067629</v>
      </c>
      <c r="AG32" s="106">
        <f t="shared" si="1"/>
        <v>179282.26710897562</v>
      </c>
      <c r="AH32" s="106">
        <f t="shared" si="1"/>
        <v>173931.02117963717</v>
      </c>
      <c r="AI32" s="106">
        <f t="shared" si="1"/>
        <v>168539.64090582874</v>
      </c>
      <c r="AJ32" s="106">
        <f t="shared" si="1"/>
        <v>163107.8252799667</v>
      </c>
      <c r="AK32" s="106">
        <f t="shared" si="1"/>
        <v>157635.27103691074</v>
      </c>
      <c r="AL32" s="106">
        <f t="shared" si="1"/>
        <v>152121.67263703179</v>
      </c>
      <c r="AM32" s="39"/>
      <c r="AN32" s="39"/>
    </row>
    <row r="33" spans="1:40" x14ac:dyDescent="0.2">
      <c r="A33" s="39" t="s">
        <v>494</v>
      </c>
      <c r="B33" s="105">
        <f>SUM(C33:AL33)</f>
        <v>23466077.846779488</v>
      </c>
      <c r="C33" s="106">
        <f t="shared" ref="C33:AL33" si="2">IF(C$30&gt;$B$25,0,-PPMT($B$24/12,C$30,$B$25,$B$23))</f>
        <v>570219.41825409816</v>
      </c>
      <c r="D33" s="106">
        <f t="shared" si="2"/>
        <v>574496.06389100396</v>
      </c>
      <c r="E33" s="106">
        <f t="shared" si="2"/>
        <v>578804.78437018651</v>
      </c>
      <c r="F33" s="106">
        <f t="shared" si="2"/>
        <v>583145.82025296288</v>
      </c>
      <c r="G33" s="106">
        <f t="shared" si="2"/>
        <v>587519.41390486003</v>
      </c>
      <c r="H33" s="106">
        <f t="shared" si="2"/>
        <v>591925.80950914661</v>
      </c>
      <c r="I33" s="106">
        <f t="shared" si="2"/>
        <v>596365.25308046525</v>
      </c>
      <c r="J33" s="106">
        <f t="shared" si="2"/>
        <v>600837.99247856869</v>
      </c>
      <c r="K33" s="106">
        <f t="shared" si="2"/>
        <v>605344.27742215793</v>
      </c>
      <c r="L33" s="106">
        <f t="shared" si="2"/>
        <v>609884.35950282414</v>
      </c>
      <c r="M33" s="106">
        <f t="shared" si="2"/>
        <v>614458.49219909532</v>
      </c>
      <c r="N33" s="106">
        <f t="shared" si="2"/>
        <v>619066.93089058856</v>
      </c>
      <c r="O33" s="106">
        <f t="shared" si="2"/>
        <v>623709.93287226802</v>
      </c>
      <c r="P33" s="106">
        <f t="shared" si="2"/>
        <v>628387.75736881001</v>
      </c>
      <c r="Q33" s="106">
        <f t="shared" si="2"/>
        <v>633100.66554907605</v>
      </c>
      <c r="R33" s="106">
        <f t="shared" si="2"/>
        <v>637848.92054069415</v>
      </c>
      <c r="S33" s="106">
        <f t="shared" si="2"/>
        <v>642632.78744474926</v>
      </c>
      <c r="T33" s="106">
        <f t="shared" si="2"/>
        <v>647452.53335058491</v>
      </c>
      <c r="U33" s="106">
        <f t="shared" si="2"/>
        <v>652308.42735071422</v>
      </c>
      <c r="V33" s="106">
        <f t="shared" si="2"/>
        <v>657200.74055584474</v>
      </c>
      <c r="W33" s="106">
        <f t="shared" si="2"/>
        <v>662129.74611001357</v>
      </c>
      <c r="X33" s="106">
        <f t="shared" si="2"/>
        <v>667095.71920583851</v>
      </c>
      <c r="Y33" s="106">
        <f t="shared" si="2"/>
        <v>672098.93709988252</v>
      </c>
      <c r="Z33" s="106">
        <f t="shared" si="2"/>
        <v>677139.6791281316</v>
      </c>
      <c r="AA33" s="106">
        <f t="shared" si="2"/>
        <v>682218.2267215926</v>
      </c>
      <c r="AB33" s="106">
        <f t="shared" si="2"/>
        <v>687334.86342200439</v>
      </c>
      <c r="AC33" s="106">
        <f t="shared" si="2"/>
        <v>692489.87489766954</v>
      </c>
      <c r="AD33" s="106">
        <f t="shared" si="2"/>
        <v>697683.54895940213</v>
      </c>
      <c r="AE33" s="106">
        <f t="shared" si="2"/>
        <v>702916.17557659745</v>
      </c>
      <c r="AF33" s="106">
        <f t="shared" si="2"/>
        <v>708188.04689342203</v>
      </c>
      <c r="AG33" s="106">
        <f t="shared" si="2"/>
        <v>713499.45724512276</v>
      </c>
      <c r="AH33" s="106">
        <f t="shared" si="2"/>
        <v>718850.70317446114</v>
      </c>
      <c r="AI33" s="106">
        <f t="shared" si="2"/>
        <v>724242.08344826964</v>
      </c>
      <c r="AJ33" s="106">
        <f t="shared" si="2"/>
        <v>729673.89907413162</v>
      </c>
      <c r="AK33" s="106">
        <f t="shared" si="2"/>
        <v>735146.45331718761</v>
      </c>
      <c r="AL33" s="106">
        <f t="shared" si="2"/>
        <v>740660.05171706644</v>
      </c>
      <c r="AM33" s="39"/>
      <c r="AN33" s="39"/>
    </row>
    <row r="34" spans="1:40" x14ac:dyDescent="0.2">
      <c r="A34" s="37" t="s">
        <v>495</v>
      </c>
      <c r="B34" s="39"/>
      <c r="C34" s="105">
        <f>$B$23-C33</f>
        <v>42438088.061745904</v>
      </c>
      <c r="D34" s="105">
        <f t="shared" ref="D34:AL34" si="3">C34-D33</f>
        <v>41863591.997854903</v>
      </c>
      <c r="E34" s="105">
        <f t="shared" si="3"/>
        <v>41284787.213484719</v>
      </c>
      <c r="F34" s="105">
        <f t="shared" si="3"/>
        <v>40701641.393231757</v>
      </c>
      <c r="G34" s="105">
        <f t="shared" si="3"/>
        <v>40114121.979326896</v>
      </c>
      <c r="H34" s="105">
        <f t="shared" si="3"/>
        <v>39522196.169817753</v>
      </c>
      <c r="I34" s="105">
        <f t="shared" si="3"/>
        <v>38925830.916737288</v>
      </c>
      <c r="J34" s="105">
        <f t="shared" si="3"/>
        <v>38324992.924258716</v>
      </c>
      <c r="K34" s="105">
        <f t="shared" si="3"/>
        <v>37719648.646836556</v>
      </c>
      <c r="L34" s="105">
        <f t="shared" si="3"/>
        <v>37109764.287333734</v>
      </c>
      <c r="M34" s="105">
        <f t="shared" si="3"/>
        <v>36495305.795134641</v>
      </c>
      <c r="N34" s="105">
        <f t="shared" si="3"/>
        <v>35876238.864244051</v>
      </c>
      <c r="O34" s="105">
        <f t="shared" si="3"/>
        <v>35252528.931371786</v>
      </c>
      <c r="P34" s="105">
        <f t="shared" si="3"/>
        <v>34624141.174002975</v>
      </c>
      <c r="Q34" s="105">
        <f t="shared" si="3"/>
        <v>33991040.508453898</v>
      </c>
      <c r="R34" s="105">
        <f t="shared" si="3"/>
        <v>33353191.587913204</v>
      </c>
      <c r="S34" s="105">
        <f t="shared" si="3"/>
        <v>32710558.800468456</v>
      </c>
      <c r="T34" s="105">
        <f t="shared" si="3"/>
        <v>32063106.267117873</v>
      </c>
      <c r="U34" s="105">
        <f t="shared" si="3"/>
        <v>31410797.839767158</v>
      </c>
      <c r="V34" s="105">
        <f t="shared" si="3"/>
        <v>30753597.099211313</v>
      </c>
      <c r="W34" s="105">
        <f t="shared" si="3"/>
        <v>30091467.353101298</v>
      </c>
      <c r="X34" s="105">
        <f t="shared" si="3"/>
        <v>29424371.633895461</v>
      </c>
      <c r="Y34" s="105">
        <f t="shared" si="3"/>
        <v>28752272.696795579</v>
      </c>
      <c r="Z34" s="105">
        <f t="shared" si="3"/>
        <v>28075133.017667446</v>
      </c>
      <c r="AA34" s="105">
        <f t="shared" si="3"/>
        <v>27392914.790945854</v>
      </c>
      <c r="AB34" s="105">
        <f t="shared" si="3"/>
        <v>26705579.927523851</v>
      </c>
      <c r="AC34" s="105">
        <f t="shared" si="3"/>
        <v>26013090.052626181</v>
      </c>
      <c r="AD34" s="105">
        <f t="shared" si="3"/>
        <v>25315406.503666781</v>
      </c>
      <c r="AE34" s="105">
        <f t="shared" si="3"/>
        <v>24612490.328090183</v>
      </c>
      <c r="AF34" s="105">
        <f t="shared" si="3"/>
        <v>23904302.281196762</v>
      </c>
      <c r="AG34" s="105">
        <f t="shared" si="3"/>
        <v>23190802.823951639</v>
      </c>
      <c r="AH34" s="105">
        <f t="shared" si="3"/>
        <v>22471952.120777179</v>
      </c>
      <c r="AI34" s="105">
        <f t="shared" si="3"/>
        <v>21747710.03732891</v>
      </c>
      <c r="AJ34" s="105">
        <f t="shared" si="3"/>
        <v>21018036.138254777</v>
      </c>
      <c r="AK34" s="105">
        <f t="shared" si="3"/>
        <v>20282889.684937589</v>
      </c>
      <c r="AL34" s="105">
        <f t="shared" si="3"/>
        <v>19542229.633220524</v>
      </c>
      <c r="AM34" s="39"/>
      <c r="AN34" s="39"/>
    </row>
    <row r="35" spans="1:40" x14ac:dyDescent="0.2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</row>
    <row r="36" spans="1:40" ht="18" customHeight="1" x14ac:dyDescent="0.2">
      <c r="A36" s="40" t="s">
        <v>496</v>
      </c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39"/>
      <c r="AN36" s="39"/>
    </row>
    <row r="37" spans="1:40" x14ac:dyDescent="0.2">
      <c r="A37" s="37" t="s">
        <v>497</v>
      </c>
      <c r="B37" s="95">
        <f>-MIN(B48:AL48)</f>
        <v>28176175.222854078</v>
      </c>
      <c r="C37" s="102" t="s">
        <v>498</v>
      </c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</row>
    <row r="38" spans="1:40" x14ac:dyDescent="0.2">
      <c r="A38" s="39" t="s">
        <v>499</v>
      </c>
      <c r="B38" s="66">
        <f>B37+B10</f>
        <v>36592924.222854078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</row>
    <row r="39" spans="1:40" x14ac:dyDescent="0.2">
      <c r="A39" s="37" t="s">
        <v>500</v>
      </c>
      <c r="B39" s="96">
        <f>MIN(Tresorerie!D25:AM25)</f>
        <v>-2445043.6275112294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</row>
    <row r="40" spans="1:40" x14ac:dyDescent="0.2">
      <c r="A40" s="37" t="s">
        <v>501</v>
      </c>
      <c r="B40" s="107" t="str">
        <f>IF(B39&gt;=B10,"OK — trésorerie ≥ "&amp;B9&amp;" mois de charges fixes sur toute la période","INSUFFISANT — augmenter apport, mois financés ou durée")</f>
        <v>INSUFFISANT — augmenter apport, mois financés ou durée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</row>
    <row r="41" spans="1:40" x14ac:dyDescent="0.2">
      <c r="A41" s="39" t="s">
        <v>502</v>
      </c>
      <c r="B41" s="66">
        <f>B15+MAX(0,B10-B39)</f>
        <v>53870100.107511237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</row>
    <row r="42" spans="1:40" x14ac:dyDescent="0.2">
      <c r="A42" s="39" t="s">
        <v>503</v>
      </c>
      <c r="B42" s="58">
        <f>Parametres!$D$146</f>
        <v>36700000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</row>
    <row r="43" spans="1:40" x14ac:dyDescent="0.2">
      <c r="A43" s="39" t="s">
        <v>504</v>
      </c>
      <c r="B43" s="66">
        <f>B42-B38</f>
        <v>107075.77714592218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</row>
    <row r="44" spans="1:40" x14ac:dyDescent="0.2">
      <c r="A44" s="37" t="s">
        <v>505</v>
      </c>
      <c r="B44" s="95">
        <f>AL34</f>
        <v>19542229.633220524</v>
      </c>
      <c r="C44" s="102" t="s">
        <v>506</v>
      </c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</row>
    <row r="45" spans="1:40" x14ac:dyDescent="0.2">
      <c r="A45" s="37" t="s">
        <v>507</v>
      </c>
      <c r="B45" s="96">
        <f>Tresorerie!AM25-B44</f>
        <v>-21987273.260731753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</row>
    <row r="46" spans="1:40" x14ac:dyDescent="0.2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</row>
    <row r="47" spans="1:40" x14ac:dyDescent="0.2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</row>
    <row r="48" spans="1:40" x14ac:dyDescent="0.2">
      <c r="A48" s="83" t="s">
        <v>508</v>
      </c>
      <c r="B48" s="108">
        <f>(SUM(Tresorerie!C6:C8)+Tresorerie!C10+Tresorerie!C15)</f>
        <v>-4900000</v>
      </c>
      <c r="C48" s="108">
        <f>B48+(SUM(Tresorerie!D6:D8)+Tresorerie!D10+Tresorerie!D15)</f>
        <v>-6729596.54</v>
      </c>
      <c r="D48" s="108">
        <f>C48+(SUM(Tresorerie!E6:E8)+Tresorerie!E10+Tresorerie!E15)</f>
        <v>-8375323.1405999996</v>
      </c>
      <c r="E48" s="108">
        <f>D48+(SUM(Tresorerie!F6:F8)+Tresorerie!F10+Tresorerie!F15)</f>
        <v>-9963691.1830839999</v>
      </c>
      <c r="F48" s="108">
        <f>E48+(SUM(Tresorerie!G6:G8)+Tresorerie!G10+Tresorerie!G15)</f>
        <v>-11492301.24488081</v>
      </c>
      <c r="G48" s="108">
        <f>F48+(SUM(Tresorerie!H6:H8)+Tresorerie!H10+Tresorerie!H15)</f>
        <v>-12958622.960081458</v>
      </c>
      <c r="H48" s="108">
        <f>G48+(SUM(Tresorerie!I6:I8)+Tresorerie!I10+Tresorerie!I15)</f>
        <v>-14359988.862131946</v>
      </c>
      <c r="I48" s="108">
        <f>H48+(SUM(Tresorerie!J6:J8)+Tresorerie!J10+Tresorerie!J15)</f>
        <v>-15634464.381147292</v>
      </c>
      <c r="J48" s="108">
        <f>I48+(SUM(Tresorerie!K6:K8)+Tresorerie!K10+Tresorerie!K15)</f>
        <v>-16837029.144783616</v>
      </c>
      <c r="K48" s="108">
        <f>J48+(SUM(Tresorerie!L6:L8)+Tresorerie!L10+Tresorerie!L15)</f>
        <v>-17964540.528936233</v>
      </c>
      <c r="L48" s="108">
        <f>K48+(SUM(Tresorerie!M6:M8)+Tresorerie!M10+Tresorerie!M15)</f>
        <v>-19013690.363183852</v>
      </c>
      <c r="M48" s="108">
        <f>L48+(SUM(Tresorerie!N6:N8)+Tresorerie!N10+Tresorerie!N15)</f>
        <v>-19980997.008302003</v>
      </c>
      <c r="N48" s="108">
        <f>M48+(SUM(Tresorerie!O6:O8)+Tresorerie!O10+Tresorerie!O15)</f>
        <v>-21948128.05481685</v>
      </c>
      <c r="O48" s="108">
        <f>N48+(SUM(Tresorerie!P6:P8)+Tresorerie!P10+Tresorerie!P15)</f>
        <v>-22872627.056216128</v>
      </c>
      <c r="P48" s="108">
        <f>O48+(SUM(Tresorerie!Q6:Q8)+Tresorerie!Q10+Tresorerie!Q15)</f>
        <v>-23706288.402000267</v>
      </c>
      <c r="Q48" s="108">
        <f>P48+(SUM(Tresorerie!R6:R8)+Tresorerie!R10+Tresorerie!R15)</f>
        <v>-24445101.971802562</v>
      </c>
      <c r="R48" s="108">
        <f>Q48+(SUM(Tresorerie!S6:S8)+Tresorerie!S10+Tresorerie!S15)</f>
        <v>-25085226.316110902</v>
      </c>
      <c r="S48" s="108">
        <f>R48+(SUM(Tresorerie!T6:T8)+Tresorerie!T10+Tresorerie!T15)</f>
        <v>-25622642.22274036</v>
      </c>
      <c r="T48" s="108">
        <f>S48+(SUM(Tresorerie!U6:U8)+Tresorerie!U10+Tresorerie!U15)</f>
        <v>-26053145.079834625</v>
      </c>
      <c r="U48" s="108">
        <f>T48+(SUM(Tresorerie!V6:V8)+Tresorerie!V10+Tresorerie!V15)</f>
        <v>-26372336.890902467</v>
      </c>
      <c r="V48" s="108">
        <f>U48+(SUM(Tresorerie!W6:W8)+Tresorerie!W10+Tresorerie!W15)</f>
        <v>-26575617.926585834</v>
      </c>
      <c r="W48" s="108">
        <f>V48+(SUM(Tresorerie!X6:X8)+Tresorerie!X10+Tresorerie!X15)</f>
        <v>-26658177.997165564</v>
      </c>
      <c r="X48" s="108">
        <f>W48+(SUM(Tresorerie!Y6:Y8)+Tresorerie!Y10+Tresorerie!Y15)</f>
        <v>-26614987.329089265</v>
      </c>
      <c r="Y48" s="108">
        <f>X48+(SUM(Tresorerie!Z6:Z8)+Tresorerie!Z10+Tresorerie!Z15)</f>
        <v>-26440787.028052606</v>
      </c>
      <c r="Z48" s="108">
        <f>Y48+(SUM(Tresorerie!AA6:AA8)+Tresorerie!AA10+Tresorerie!AA15)</f>
        <v>-28034430.305474449</v>
      </c>
      <c r="AA48" s="108">
        <f>Z48+(SUM(Tresorerie!AB6:AB8)+Tresorerie!AB10+Tresorerie!AB15)</f>
        <v>-28169583.430633914</v>
      </c>
      <c r="AB48" s="108">
        <f>AA48+(SUM(Tresorerie!AC6:AC8)+Tresorerie!AC10+Tresorerie!AC15)</f>
        <v>-28176175.222854078</v>
      </c>
      <c r="AC48" s="108">
        <f>AB48+(SUM(Tresorerie!AD6:AD8)+Tresorerie!AD10+Tresorerie!AD15)</f>
        <v>-28031619.789992671</v>
      </c>
      <c r="AD48" s="108">
        <f>AC48+(SUM(Tresorerie!AE6:AE8)+Tresorerie!AE10+Tresorerie!AE15)</f>
        <v>-27731536.438112106</v>
      </c>
      <c r="AE48" s="108">
        <f>AD48+(SUM(Tresorerie!AF6:AF8)+Tresorerie!AF10+Tresorerie!AF15)</f>
        <v>-27271353.998131156</v>
      </c>
      <c r="AF48" s="108">
        <f>AE48+(SUM(Tresorerie!AG6:AG8)+Tresorerie!AG10+Tresorerie!AG15)</f>
        <v>-26646304.852930017</v>
      </c>
      <c r="AG48" s="108">
        <f>AF48+(SUM(Tresorerie!AH6:AH8)+Tresorerie!AH10+Tresorerie!AH15)</f>
        <v>-25851418.717675377</v>
      </c>
      <c r="AH48" s="108">
        <f>AG48+(SUM(Tresorerie!AI6:AI8)+Tresorerie!AI10+Tresorerie!AI15)</f>
        <v>-24881516.16520245</v>
      </c>
      <c r="AI48" s="108">
        <f>AH48+(SUM(Tresorerie!AJ6:AJ8)+Tresorerie!AJ10+Tresorerie!AJ15)</f>
        <v>-23731201.887966007</v>
      </c>
      <c r="AJ48" s="108">
        <f>AI48+(SUM(Tresorerie!AK6:AK8)+Tresorerie!AK10+Tresorerie!AK15)</f>
        <v>-22394857.687736303</v>
      </c>
      <c r="AK48" s="108">
        <f>AJ48+(SUM(Tresorerie!AL6:AL8)+Tresorerie!AL10+Tresorerie!AL15)</f>
        <v>-20866635.183868054</v>
      </c>
      <c r="AL48" s="108">
        <f>AK48+(SUM(Tresorerie!AM6:AM8)+Tresorerie!AM10+Tresorerie!AM15)</f>
        <v>-22313209.030763704</v>
      </c>
      <c r="AM48" s="39"/>
      <c r="AN48" s="39"/>
    </row>
    <row r="49" spans="1:40" x14ac:dyDescent="0.2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</row>
    <row r="50" spans="1:40" x14ac:dyDescent="0.2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30"/>
  <sheetViews>
    <sheetView showGridLines="0" zoomScaleNormal="100" workbookViewId="0">
      <pane xSplit="2" ySplit="3" topLeftCell="C4" activePane="bottomRight" state="frozen"/>
      <selection pane="topRight"/>
      <selection pane="bottomLeft" activeCell="A4" sqref="A4"/>
      <selection pane="bottomRight" activeCell="D19" sqref="D19"/>
    </sheetView>
  </sheetViews>
  <sheetFormatPr baseColWidth="10" defaultColWidth="8.83203125" defaultRowHeight="15" x14ac:dyDescent="0.2"/>
  <cols>
    <col min="1" max="1" width="46" customWidth="1"/>
    <col min="2" max="2" width="4" customWidth="1"/>
    <col min="3" max="39" width="12" customWidth="1"/>
  </cols>
  <sheetData>
    <row r="1" spans="1:39" ht="22" customHeight="1" x14ac:dyDescent="0.25">
      <c r="A1" s="6" t="s">
        <v>509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39" ht="15" customHeight="1" x14ac:dyDescent="0.2">
      <c r="A2" s="13" t="s">
        <v>332</v>
      </c>
      <c r="B2" s="13"/>
      <c r="C2" s="13"/>
      <c r="D2" s="16">
        <f>'P&amp;L'!B2</f>
        <v>1</v>
      </c>
      <c r="E2" s="16">
        <f>'P&amp;L'!C2</f>
        <v>1</v>
      </c>
      <c r="F2" s="16">
        <f>'P&amp;L'!D2</f>
        <v>1</v>
      </c>
      <c r="G2" s="16">
        <f>'P&amp;L'!E2</f>
        <v>1</v>
      </c>
      <c r="H2" s="16">
        <f>'P&amp;L'!F2</f>
        <v>1</v>
      </c>
      <c r="I2" s="16">
        <f>'P&amp;L'!G2</f>
        <v>1</v>
      </c>
      <c r="J2" s="16">
        <f>'P&amp;L'!H2</f>
        <v>1</v>
      </c>
      <c r="K2" s="16">
        <f>'P&amp;L'!I2</f>
        <v>1</v>
      </c>
      <c r="L2" s="16">
        <f>'P&amp;L'!J2</f>
        <v>1</v>
      </c>
      <c r="M2" s="16">
        <f>'P&amp;L'!K2</f>
        <v>1</v>
      </c>
      <c r="N2" s="16">
        <f>'P&amp;L'!L2</f>
        <v>1</v>
      </c>
      <c r="O2" s="16">
        <f>'P&amp;L'!M2</f>
        <v>1</v>
      </c>
      <c r="P2" s="16">
        <f>'P&amp;L'!N2</f>
        <v>2</v>
      </c>
      <c r="Q2" s="16">
        <f>'P&amp;L'!O2</f>
        <v>2</v>
      </c>
      <c r="R2" s="16">
        <f>'P&amp;L'!P2</f>
        <v>2</v>
      </c>
      <c r="S2" s="16">
        <f>'P&amp;L'!Q2</f>
        <v>2</v>
      </c>
      <c r="T2" s="16">
        <f>'P&amp;L'!R2</f>
        <v>2</v>
      </c>
      <c r="U2" s="16">
        <f>'P&amp;L'!S2</f>
        <v>2</v>
      </c>
      <c r="V2" s="16">
        <f>'P&amp;L'!T2</f>
        <v>2</v>
      </c>
      <c r="W2" s="16">
        <f>'P&amp;L'!U2</f>
        <v>2</v>
      </c>
      <c r="X2" s="16">
        <f>'P&amp;L'!V2</f>
        <v>2</v>
      </c>
      <c r="Y2" s="16">
        <f>'P&amp;L'!W2</f>
        <v>2</v>
      </c>
      <c r="Z2" s="16">
        <f>'P&amp;L'!X2</f>
        <v>2</v>
      </c>
      <c r="AA2" s="16">
        <f>'P&amp;L'!Y2</f>
        <v>2</v>
      </c>
      <c r="AB2" s="16">
        <f>'P&amp;L'!Z2</f>
        <v>3</v>
      </c>
      <c r="AC2" s="16">
        <f>'P&amp;L'!AA2</f>
        <v>3</v>
      </c>
      <c r="AD2" s="16">
        <f>'P&amp;L'!AB2</f>
        <v>3</v>
      </c>
      <c r="AE2" s="16">
        <f>'P&amp;L'!AC2</f>
        <v>3</v>
      </c>
      <c r="AF2" s="16">
        <f>'P&amp;L'!AD2</f>
        <v>3</v>
      </c>
      <c r="AG2" s="16">
        <f>'P&amp;L'!AE2</f>
        <v>3</v>
      </c>
      <c r="AH2" s="16">
        <f>'P&amp;L'!AF2</f>
        <v>3</v>
      </c>
      <c r="AI2" s="16">
        <f>'P&amp;L'!AG2</f>
        <v>3</v>
      </c>
      <c r="AJ2" s="16">
        <f>'P&amp;L'!AH2</f>
        <v>3</v>
      </c>
      <c r="AK2" s="16">
        <f>'P&amp;L'!AI2</f>
        <v>3</v>
      </c>
      <c r="AL2" s="16">
        <f>'P&amp;L'!AJ2</f>
        <v>3</v>
      </c>
      <c r="AM2" s="16">
        <f>'P&amp;L'!AK2</f>
        <v>3</v>
      </c>
    </row>
    <row r="3" spans="1:39" ht="15" customHeight="1" x14ac:dyDescent="0.2">
      <c r="A3" s="13" t="s">
        <v>333</v>
      </c>
      <c r="B3" s="13"/>
      <c r="C3" s="13">
        <v>0</v>
      </c>
      <c r="D3" s="13">
        <v>1</v>
      </c>
      <c r="E3" s="13">
        <v>2</v>
      </c>
      <c r="F3" s="13">
        <v>3</v>
      </c>
      <c r="G3" s="13">
        <v>4</v>
      </c>
      <c r="H3" s="13">
        <v>5</v>
      </c>
      <c r="I3" s="13">
        <v>6</v>
      </c>
      <c r="J3" s="13">
        <v>7</v>
      </c>
      <c r="K3" s="13">
        <v>8</v>
      </c>
      <c r="L3" s="13">
        <v>9</v>
      </c>
      <c r="M3" s="13">
        <v>10</v>
      </c>
      <c r="N3" s="13">
        <v>11</v>
      </c>
      <c r="O3" s="13">
        <v>12</v>
      </c>
      <c r="P3" s="13">
        <v>13</v>
      </c>
      <c r="Q3" s="13">
        <v>14</v>
      </c>
      <c r="R3" s="13">
        <v>15</v>
      </c>
      <c r="S3" s="13">
        <v>16</v>
      </c>
      <c r="T3" s="13">
        <v>17</v>
      </c>
      <c r="U3" s="13">
        <v>18</v>
      </c>
      <c r="V3" s="13">
        <v>19</v>
      </c>
      <c r="W3" s="13">
        <v>20</v>
      </c>
      <c r="X3" s="13">
        <v>21</v>
      </c>
      <c r="Y3" s="13">
        <v>22</v>
      </c>
      <c r="Z3" s="13">
        <v>23</v>
      </c>
      <c r="AA3" s="13">
        <v>24</v>
      </c>
      <c r="AB3" s="13">
        <v>25</v>
      </c>
      <c r="AC3" s="13">
        <v>26</v>
      </c>
      <c r="AD3" s="13">
        <v>27</v>
      </c>
      <c r="AE3" s="13">
        <v>28</v>
      </c>
      <c r="AF3" s="13">
        <v>29</v>
      </c>
      <c r="AG3" s="13">
        <v>30</v>
      </c>
      <c r="AH3" s="13">
        <v>31</v>
      </c>
      <c r="AI3" s="13">
        <v>32</v>
      </c>
      <c r="AJ3" s="13">
        <v>33</v>
      </c>
      <c r="AK3" s="13">
        <v>34</v>
      </c>
      <c r="AL3" s="13">
        <v>35</v>
      </c>
      <c r="AM3" s="13">
        <v>36</v>
      </c>
    </row>
    <row r="5" spans="1:39" ht="15" customHeight="1" x14ac:dyDescent="0.2">
      <c r="A5" s="8" t="s">
        <v>510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</row>
    <row r="6" spans="1:39" ht="15" customHeight="1" x14ac:dyDescent="0.2">
      <c r="A6" s="11" t="s">
        <v>511</v>
      </c>
      <c r="D6" s="19">
        <f>IF(Parametres!$B$158=1,IF(D$3-Parametres!$B$165&gt;=1,INDEX('P&amp;L'!$B$5:$AK$5,1,D$3-Parametres!$B$165),0)*(1-Parametres!$B$163),'P&amp;L'!B5)</f>
        <v>1394700</v>
      </c>
      <c r="E6" s="19">
        <f>IF(Parametres!$B$158=1,IF(E$3-Parametres!$B$165&gt;=1,INDEX('P&amp;L'!$B$5:$AK$5,1,E$3-Parametres!$B$165),0)*(1-Parametres!$B$163),'P&amp;L'!C5)</f>
        <v>1455388.425</v>
      </c>
      <c r="F6" s="19">
        <f>IF(Parametres!$B$158=1,IF(F$3-Parametres!$B$165&gt;=1,INDEX('P&amp;L'!$B$5:$AK$5,1,F$3-Parametres!$B$165),0)*(1-Parametres!$B$163),'P&amp;L'!D5)</f>
        <v>1518457.15215</v>
      </c>
      <c r="G6" s="19">
        <f>IF(Parametres!$B$158=1,IF(G$3-Parametres!$B$165&gt;=1,INDEX('P&amp;L'!$B$5:$AK$5,1,G$3-Parametres!$B$165),0)*(1-Parametres!$B$163),'P&amp;L'!E5)</f>
        <v>1584033.8286087003</v>
      </c>
      <c r="H6" s="19">
        <f>IF(Parametres!$B$158=1,IF(H$3-Parametres!$B$165&gt;=1,INDEX('P&amp;L'!$B$5:$AK$5,1,H$3-Parametres!$B$165),0)*(1-Parametres!$B$163),'P&amp;L'!F5)</f>
        <v>1652252.0104707067</v>
      </c>
      <c r="I6" s="19">
        <f>IF(Parametres!$B$158=1,IF(I$3-Parametres!$B$165&gt;=1,INDEX('P&amp;L'!$B$5:$AK$5,1,I$3-Parametres!$B$165),0)*(1-Parametres!$B$163),'P&amp;L'!G5)</f>
        <v>1723251.4682179105</v>
      </c>
      <c r="J6" s="19">
        <f>IF(Parametres!$B$158=1,IF(J$3-Parametres!$B$165&gt;=1,INDEX('P&amp;L'!$B$5:$AK$5,1,J$3-Parametres!$B$165),0)*(1-Parametres!$B$163),'P&amp;L'!H5)</f>
        <v>1856302.0340722492</v>
      </c>
      <c r="K6" s="19">
        <f>IF(Parametres!$B$158=1,IF(K$3-Parametres!$B$165&gt;=1,INDEX('P&amp;L'!$B$5:$AK$5,1,K$3-Parametres!$B$165),0)*(1-Parametres!$B$163),'P&amp;L'!I5)</f>
        <v>1934492.3004762842</v>
      </c>
      <c r="L6" s="19">
        <f>IF(Parametres!$B$158=1,IF(L$3-Parametres!$B$165&gt;=1,INDEX('P&amp;L'!$B$5:$AK$5,1,L$3-Parametres!$B$165),0)*(1-Parametres!$B$163),'P&amp;L'!J5)</f>
        <v>2015947.3723734012</v>
      </c>
      <c r="M6" s="19">
        <f>IF(Parametres!$B$158=1,IF(M$3-Parametres!$B$165&gt;=1,INDEX('P&amp;L'!$B$5:$AK$5,1,M$3-Parametres!$B$165),0)*(1-Parametres!$B$163),'P&amp;L'!K5)</f>
        <v>2100835.7146387212</v>
      </c>
      <c r="N6" s="19">
        <f>IF(Parametres!$B$158=1,IF(N$3-Parametres!$B$165&gt;=1,INDEX('P&amp;L'!$B$5:$AK$5,1,N$3-Parametres!$B$165),0)*(1-Parametres!$B$163),'P&amp;L'!L5)</f>
        <v>2189333.7822610531</v>
      </c>
      <c r="O6" s="19">
        <f>IF(Parametres!$B$158=1,IF(O$3-Parametres!$B$165&gt;=1,INDEX('P&amp;L'!$B$5:$AK$5,1,O$3-Parametres!$B$165),0)*(1-Parametres!$B$163),'P&amp;L'!M5)</f>
        <v>2281626.4274155251</v>
      </c>
      <c r="P6" s="19">
        <f>IF(Parametres!$B$158=1,IF(P$3-Parametres!$B$165&gt;=1,INDEX('P&amp;L'!$B$5:$AK$5,1,P$3-Parametres!$B$165),0)*(1-Parametres!$B$163),'P&amp;L'!N5)</f>
        <v>2550347.5759644657</v>
      </c>
      <c r="Q6" s="19">
        <f>IF(Parametres!$B$158=1,IF(Q$3-Parametres!$B$165&gt;=1,INDEX('P&amp;L'!$B$5:$AK$5,1,Q$3-Parametres!$B$165),0)*(1-Parametres!$B$163),'P&amp;L'!O5)</f>
        <v>2649509.1128086625</v>
      </c>
      <c r="R6" s="19">
        <f>IF(Parametres!$B$158=1,IF(R$3-Parametres!$B$165&gt;=1,INDEX('P&amp;L'!$B$5:$AK$5,1,R$3-Parametres!$B$165),0)*(1-Parametres!$B$163),'P&amp;L'!P5)</f>
        <v>2752514.0529363444</v>
      </c>
      <c r="S6" s="19">
        <f>IF(Parametres!$B$158=1,IF(S$3-Parametres!$B$165&gt;=1,INDEX('P&amp;L'!$B$5:$AK$5,1,S$3-Parametres!$B$165),0)*(1-Parametres!$B$163),'P&amp;L'!Q5)</f>
        <v>2859537.0597735019</v>
      </c>
      <c r="T6" s="19">
        <f>IF(Parametres!$B$158=1,IF(T$3-Parametres!$B$165&gt;=1,INDEX('P&amp;L'!$B$5:$AK$5,1,T$3-Parametres!$B$165),0)*(1-Parametres!$B$163),'P&amp;L'!R5)</f>
        <v>2970760.1980828652</v>
      </c>
      <c r="U6" s="19">
        <f>IF(Parametres!$B$158=1,IF(U$3-Parametres!$B$165&gt;=1,INDEX('P&amp;L'!$B$5:$AK$5,1,U$3-Parametres!$B$165),0)*(1-Parametres!$B$163),'P&amp;L'!S5)</f>
        <v>3086373.2700976366</v>
      </c>
      <c r="V6" s="19">
        <f>IF(Parametres!$B$158=1,IF(V$3-Parametres!$B$165&gt;=1,INDEX('P&amp;L'!$B$5:$AK$5,1,V$3-Parametres!$B$165),0)*(1-Parametres!$B$163),'P&amp;L'!T5)</f>
        <v>3206574.166375909</v>
      </c>
      <c r="W6" s="19">
        <f>IF(Parametres!$B$158=1,IF(W$3-Parametres!$B$165&gt;=1,INDEX('P&amp;L'!$B$5:$AK$5,1,W$3-Parametres!$B$165),0)*(1-Parametres!$B$163),'P&amp;L'!U5)</f>
        <v>3331569.2320399843</v>
      </c>
      <c r="X6" s="19">
        <f>IF(Parametres!$B$158=1,IF(X$3-Parametres!$B$165&gt;=1,INDEX('P&amp;L'!$B$5:$AK$5,1,X$3-Parametres!$B$165),0)*(1-Parametres!$B$163),'P&amp;L'!V5)</f>
        <v>3461573.6490942491</v>
      </c>
      <c r="Y6" s="19">
        <f>IF(Parametres!$B$158=1,IF(Y$3-Parametres!$B$165&gt;=1,INDEX('P&amp;L'!$B$5:$AK$5,1,Y$3-Parametres!$B$165),0)*(1-Parametres!$B$163),'P&amp;L'!W5)</f>
        <v>3596811.8355460106</v>
      </c>
      <c r="Z6" s="19">
        <f>IF(Parametres!$B$158=1,IF(Z$3-Parametres!$B$165&gt;=1,INDEX('P&amp;L'!$B$5:$AK$5,1,Z$3-Parametres!$B$165),0)*(1-Parametres!$B$163),'P&amp;L'!X5)</f>
        <v>3737517.8620859114</v>
      </c>
      <c r="AA6" s="19">
        <f>IF(Parametres!$B$158=1,IF(AA$3-Parametres!$B$165&gt;=1,INDEX('P&amp;L'!$B$5:$AK$5,1,AA$3-Parametres!$B$165),0)*(1-Parametres!$B$163),'P&amp;L'!Y5)</f>
        <v>3883935.8871180704</v>
      </c>
      <c r="AB6" s="19">
        <f>IF(Parametres!$B$158=1,IF(AB$3-Parametres!$B$165&gt;=1,INDEX('P&amp;L'!$B$5:$AK$5,1,AB$3-Parametres!$B$165),0)*(1-Parametres!$B$163),'P&amp;L'!Z5)</f>
        <v>4323137.5828078501</v>
      </c>
      <c r="AC6" s="19">
        <f>IF(Parametres!$B$158=1,IF(AC$3-Parametres!$B$165&gt;=1,INDEX('P&amp;L'!$B$5:$AK$5,1,AC$3-Parametres!$B$165),0)*(1-Parametres!$B$163),'P&amp;L'!AA5)</f>
        <v>4482164.7560903095</v>
      </c>
      <c r="AD6" s="19">
        <f>IF(Parametres!$B$158=1,IF(AD$3-Parametres!$B$165&gt;=1,INDEX('P&amp;L'!$B$5:$AK$5,1,AD$3-Parametres!$B$165),0)*(1-Parametres!$B$163),'P&amp;L'!AB5)</f>
        <v>4645654.4033664605</v>
      </c>
      <c r="AE6" s="19">
        <f>IF(Parametres!$B$158=1,IF(AE$3-Parametres!$B$165&gt;=1,INDEX('P&amp;L'!$B$5:$AK$5,1,AE$3-Parametres!$B$165),0)*(1-Parametres!$B$163),'P&amp;L'!AC5)</f>
        <v>4813798.6996990116</v>
      </c>
      <c r="AF6" s="19">
        <f>IF(Parametres!$B$158=1,IF(AF$3-Parametres!$B$165&gt;=1,INDEX('P&amp;L'!$B$5:$AK$5,1,AF$3-Parametres!$B$165),0)*(1-Parametres!$B$163),'P&amp;L'!AD5)</f>
        <v>4986795.7152400799</v>
      </c>
      <c r="AG6" s="19">
        <f>IF(Parametres!$B$158=1,IF(AG$3-Parametres!$B$165&gt;=1,INDEX('P&amp;L'!$B$5:$AK$5,1,AG$3-Parametres!$B$165),0)*(1-Parametres!$B$163),'P&amp;L'!AE5)</f>
        <v>5164849.6590295993</v>
      </c>
      <c r="AH6" s="19">
        <f>IF(Parametres!$B$158=1,IF(AH$3-Parametres!$B$165&gt;=1,INDEX('P&amp;L'!$B$5:$AK$5,1,AH$3-Parametres!$B$165),0)*(1-Parametres!$B$163),'P&amp;L'!AF5)</f>
        <v>5348171.1307455627</v>
      </c>
      <c r="AI6" s="19">
        <f>IF(Parametres!$B$158=1,IF(AI$3-Parametres!$B$165&gt;=1,INDEX('P&amp;L'!$B$5:$AK$5,1,AI$3-Parametres!$B$165),0)*(1-Parametres!$B$163),'P&amp;L'!AG5)</f>
        <v>5536977.3807238294</v>
      </c>
      <c r="AJ6" s="19">
        <f>IF(Parametres!$B$158=1,IF(AJ$3-Parametres!$B$165&gt;=1,INDEX('P&amp;L'!$B$5:$AK$5,1,AJ$3-Parametres!$B$165),0)*(1-Parametres!$B$163),'P&amp;L'!AH5)</f>
        <v>5731492.5785759585</v>
      </c>
      <c r="AK6" s="19">
        <f>IF(Parametres!$B$158=1,IF(AK$3-Parametres!$B$165&gt;=1,INDEX('P&amp;L'!$B$5:$AK$5,1,AK$3-Parametres!$B$165),0)*(1-Parametres!$B$163),'P&amp;L'!AI5)</f>
        <v>5931948.0907447897</v>
      </c>
      <c r="AL6" s="19">
        <f>IF(Parametres!$B$158=1,IF(AL$3-Parametres!$B$165&gt;=1,INDEX('P&amp;L'!$B$5:$AK$5,1,AL$3-Parametres!$B$165),0)*(1-Parametres!$B$163),'P&amp;L'!AJ5)</f>
        <v>6138582.76734915</v>
      </c>
      <c r="AM6" s="19">
        <f>IF(Parametres!$B$158=1,IF(AM$3-Parametres!$B$165&gt;=1,INDEX('P&amp;L'!$B$5:$AK$5,1,AM$3-Parametres!$B$165),0)*(1-Parametres!$B$163),'P&amp;L'!AK5)</f>
        <v>6351643.2386810975</v>
      </c>
    </row>
    <row r="7" spans="1:39" ht="15" customHeight="1" x14ac:dyDescent="0.2">
      <c r="A7" s="11" t="s">
        <v>512</v>
      </c>
      <c r="D7" s="19">
        <f>'P&amp;L'!B7</f>
        <v>-418713.54</v>
      </c>
      <c r="E7" s="19">
        <f>'P&amp;L'!C7</f>
        <v>-295532.02559999999</v>
      </c>
      <c r="F7" s="19">
        <f>'P&amp;L'!D7</f>
        <v>-301242.19463400001</v>
      </c>
      <c r="G7" s="19">
        <f>'P&amp;L'!E7</f>
        <v>-307060.89040551003</v>
      </c>
      <c r="H7" s="19">
        <f>'P&amp;L'!F7</f>
        <v>-312990.72567135468</v>
      </c>
      <c r="I7" s="19">
        <f>'P&amp;L'!G7</f>
        <v>-319034.37026839732</v>
      </c>
      <c r="J7" s="19">
        <f>'P&amp;L'!H7</f>
        <v>-325194.55308759579</v>
      </c>
      <c r="K7" s="19">
        <f>'P&amp;L'!I7</f>
        <v>-331474.06411260966</v>
      </c>
      <c r="L7" s="19">
        <f>'P&amp;L'!J7</f>
        <v>-337875.75652601727</v>
      </c>
      <c r="M7" s="19">
        <f>'P&amp;L'!K7</f>
        <v>-344402.54888633941</v>
      </c>
      <c r="N7" s="19">
        <f>'P&amp;L'!L7</f>
        <v>-351057.42737920478</v>
      </c>
      <c r="O7" s="19">
        <f>'P&amp;L'!M7</f>
        <v>-357843.44814614375</v>
      </c>
      <c r="P7" s="19">
        <f>'P&amp;L'!N7</f>
        <v>-376816.93736374227</v>
      </c>
      <c r="Q7" s="19">
        <f>'P&amp;L'!O7</f>
        <v>-385140.81859280053</v>
      </c>
      <c r="R7" s="19">
        <f>'P&amp;L'!P7</f>
        <v>-393297.98273864028</v>
      </c>
      <c r="S7" s="19">
        <f>'P&amp;L'!Q7</f>
        <v>-401631.76408184291</v>
      </c>
      <c r="T7" s="19">
        <f>'P&amp;L'!R7</f>
        <v>-410146.46471232187</v>
      </c>
      <c r="U7" s="19">
        <f>'P&amp;L'!S7</f>
        <v>-418846.48719190119</v>
      </c>
      <c r="V7" s="19">
        <f>'P&amp;L'!T7</f>
        <v>-427736.33744375018</v>
      </c>
      <c r="W7" s="19">
        <f>'P&amp;L'!U7</f>
        <v>-436820.62772335304</v>
      </c>
      <c r="X7" s="19">
        <f>'P&amp;L'!V7</f>
        <v>-446104.07967397739</v>
      </c>
      <c r="Y7" s="19">
        <f>'P&amp;L'!W7</f>
        <v>-455591.52746971138</v>
      </c>
      <c r="Z7" s="19">
        <f>'P&amp;L'!X7</f>
        <v>-465287.92104925064</v>
      </c>
      <c r="AA7" s="19">
        <f>'P&amp;L'!Y7</f>
        <v>-475198.32944373169</v>
      </c>
      <c r="AB7" s="19">
        <f>'P&amp;L'!Z7</f>
        <v>-501877.89676731499</v>
      </c>
      <c r="AC7" s="19">
        <f>'P&amp;L'!AA7</f>
        <v>-532343.73711047159</v>
      </c>
      <c r="AD7" s="19">
        <f>'P&amp;L'!AB7</f>
        <v>-544686.1593050533</v>
      </c>
      <c r="AE7" s="19">
        <f>'P&amp;L'!AC7</f>
        <v>-557302.53661844495</v>
      </c>
      <c r="AF7" s="19">
        <f>'P&amp;L'!AD7</f>
        <v>-570200.46405912715</v>
      </c>
      <c r="AG7" s="19">
        <f>'P&amp;L'!AE7</f>
        <v>-583387.70262845908</v>
      </c>
      <c r="AH7" s="19">
        <f>'P&amp;L'!AF7</f>
        <v>-596872.18429092248</v>
      </c>
      <c r="AI7" s="19">
        <f>'P&amp;L'!AG7</f>
        <v>-610662.01705090236</v>
      </c>
      <c r="AJ7" s="19">
        <f>'P&amp;L'!AH7</f>
        <v>-624765.490139517</v>
      </c>
      <c r="AK7" s="19">
        <f>'P&amp;L'!AI7</f>
        <v>-639191.07931508601</v>
      </c>
      <c r="AL7" s="19">
        <f>'P&amp;L'!AJ7</f>
        <v>-653947.45228090265</v>
      </c>
      <c r="AM7" s="19">
        <f>'P&amp;L'!AK7</f>
        <v>-669043.4742240624</v>
      </c>
    </row>
    <row r="8" spans="1:39" ht="15" customHeight="1" x14ac:dyDescent="0.2">
      <c r="A8" s="11" t="s">
        <v>513</v>
      </c>
      <c r="D8" s="19">
        <f>'P&amp;L'!B17</f>
        <v>-2805583</v>
      </c>
      <c r="E8" s="19">
        <f>'P&amp;L'!C17</f>
        <v>-2805583</v>
      </c>
      <c r="F8" s="19">
        <f>'P&amp;L'!D17</f>
        <v>-2805583</v>
      </c>
      <c r="G8" s="19">
        <f>'P&amp;L'!E17</f>
        <v>-2805583</v>
      </c>
      <c r="H8" s="19">
        <f>'P&amp;L'!F17</f>
        <v>-2805583</v>
      </c>
      <c r="I8" s="19">
        <f>'P&amp;L'!G17</f>
        <v>-2805583</v>
      </c>
      <c r="J8" s="19">
        <f>'P&amp;L'!H17</f>
        <v>-2805583</v>
      </c>
      <c r="K8" s="19">
        <f>'P&amp;L'!I17</f>
        <v>-2805583</v>
      </c>
      <c r="L8" s="19">
        <f>'P&amp;L'!J17</f>
        <v>-2805583</v>
      </c>
      <c r="M8" s="19">
        <f>'P&amp;L'!K17</f>
        <v>-2805583</v>
      </c>
      <c r="N8" s="19">
        <f>'P&amp;L'!L17</f>
        <v>-2805583</v>
      </c>
      <c r="O8" s="19">
        <f>'P&amp;L'!M17</f>
        <v>-2805583</v>
      </c>
      <c r="P8" s="19">
        <f>'P&amp;L'!N17</f>
        <v>-3098029.64</v>
      </c>
      <c r="Q8" s="19">
        <f>'P&amp;L'!O17</f>
        <v>-3098029.64</v>
      </c>
      <c r="R8" s="19">
        <f>'P&amp;L'!P17</f>
        <v>-3098029.64</v>
      </c>
      <c r="S8" s="19">
        <f>'P&amp;L'!Q17</f>
        <v>-3098029.64</v>
      </c>
      <c r="T8" s="19">
        <f>'P&amp;L'!R17</f>
        <v>-3098029.64</v>
      </c>
      <c r="U8" s="19">
        <f>'P&amp;L'!S17</f>
        <v>-3098029.64</v>
      </c>
      <c r="V8" s="19">
        <f>'P&amp;L'!T17</f>
        <v>-3098029.64</v>
      </c>
      <c r="W8" s="19">
        <f>'P&amp;L'!U17</f>
        <v>-3098029.64</v>
      </c>
      <c r="X8" s="19">
        <f>'P&amp;L'!V17</f>
        <v>-3098029.64</v>
      </c>
      <c r="Y8" s="19">
        <f>'P&amp;L'!W17</f>
        <v>-3098029.64</v>
      </c>
      <c r="Z8" s="19">
        <f>'P&amp;L'!X17</f>
        <v>-3098029.64</v>
      </c>
      <c r="AA8" s="19">
        <f>'P&amp;L'!Y17</f>
        <v>-3098029.64</v>
      </c>
      <c r="AB8" s="19">
        <f>'P&amp;L'!Z17</f>
        <v>-3956412.8112000003</v>
      </c>
      <c r="AC8" s="19">
        <f>'P&amp;L'!AA17</f>
        <v>-3956412.8112000003</v>
      </c>
      <c r="AD8" s="19">
        <f>'P&amp;L'!AB17</f>
        <v>-3956412.8112000003</v>
      </c>
      <c r="AE8" s="19">
        <f>'P&amp;L'!AC17</f>
        <v>-3956412.8112000003</v>
      </c>
      <c r="AF8" s="19">
        <f>'P&amp;L'!AD17</f>
        <v>-3956412.8112000003</v>
      </c>
      <c r="AG8" s="19">
        <f>'P&amp;L'!AE17</f>
        <v>-3956412.8112000003</v>
      </c>
      <c r="AH8" s="19">
        <f>'P&amp;L'!AF17</f>
        <v>-3956412.8112000003</v>
      </c>
      <c r="AI8" s="19">
        <f>'P&amp;L'!AG17</f>
        <v>-3956412.8112000003</v>
      </c>
      <c r="AJ8" s="19">
        <f>'P&amp;L'!AH17</f>
        <v>-3956412.8112000003</v>
      </c>
      <c r="AK8" s="19">
        <f>'P&amp;L'!AI17</f>
        <v>-3956412.8112000003</v>
      </c>
      <c r="AL8" s="19">
        <f>'P&amp;L'!AJ17</f>
        <v>-3956412.8112000003</v>
      </c>
      <c r="AM8" s="19">
        <f>'P&amp;L'!AK17</f>
        <v>-3956412.8112000003</v>
      </c>
    </row>
    <row r="9" spans="1:39" ht="15" customHeight="1" x14ac:dyDescent="0.2">
      <c r="A9" s="11" t="s">
        <v>514</v>
      </c>
      <c r="D9" s="19">
        <f>'P&amp;L'!B22</f>
        <v>-322562.30610000005</v>
      </c>
      <c r="E9" s="19">
        <f>'P&amp;L'!C22</f>
        <v>-318285.66046309425</v>
      </c>
      <c r="F9" s="19">
        <f>'P&amp;L'!D22</f>
        <v>-313976.93998391175</v>
      </c>
      <c r="G9" s="19">
        <f>'P&amp;L'!E22</f>
        <v>-309635.90410113533</v>
      </c>
      <c r="H9" s="19">
        <f>'P&amp;L'!F22</f>
        <v>-305262.31044923817</v>
      </c>
      <c r="I9" s="19">
        <f>'P&amp;L'!G22</f>
        <v>-300855.91484495171</v>
      </c>
      <c r="J9" s="19">
        <f>'P&amp;L'!H22</f>
        <v>-296416.47127363307</v>
      </c>
      <c r="K9" s="19">
        <f>'P&amp;L'!I22</f>
        <v>-291943.73187552957</v>
      </c>
      <c r="L9" s="19">
        <f>'P&amp;L'!J22</f>
        <v>-287437.44693194039</v>
      </c>
      <c r="M9" s="19">
        <f>'P&amp;L'!K22</f>
        <v>-282897.36485127418</v>
      </c>
      <c r="N9" s="19">
        <f>'P&amp;L'!L22</f>
        <v>-278323.23215500294</v>
      </c>
      <c r="O9" s="19">
        <f>'P&amp;L'!M22</f>
        <v>-273714.79346350982</v>
      </c>
      <c r="P9" s="19">
        <f>'P&amp;L'!N22</f>
        <v>-269071.7914818303</v>
      </c>
      <c r="Q9" s="19">
        <f>'P&amp;L'!O22</f>
        <v>-264393.96698528837</v>
      </c>
      <c r="R9" s="19">
        <f>'P&amp;L'!P22</f>
        <v>-259681.05880502224</v>
      </c>
      <c r="S9" s="19">
        <f>'P&amp;L'!Q22</f>
        <v>-254932.80381340417</v>
      </c>
      <c r="T9" s="19">
        <f>'P&amp;L'!R22</f>
        <v>-250148.93690934897</v>
      </c>
      <c r="U9" s="19">
        <f>'P&amp;L'!S22</f>
        <v>-245329.19100351338</v>
      </c>
      <c r="V9" s="19">
        <f>'P&amp;L'!T22</f>
        <v>-240473.29700338395</v>
      </c>
      <c r="W9" s="19">
        <f>'P&amp;L'!U22</f>
        <v>-235580.98379825364</v>
      </c>
      <c r="X9" s="19">
        <f>'P&amp;L'!V22</f>
        <v>-230651.97824408475</v>
      </c>
      <c r="Y9" s="19">
        <f>'P&amp;L'!W22</f>
        <v>-225686.00514825969</v>
      </c>
      <c r="Z9" s="19">
        <f>'P&amp;L'!X22</f>
        <v>-220682.78725421589</v>
      </c>
      <c r="AA9" s="19">
        <f>'P&amp;L'!Y22</f>
        <v>-215642.04522596678</v>
      </c>
      <c r="AB9" s="19">
        <f>'P&amp;L'!Z22</f>
        <v>-210563.49763250578</v>
      </c>
      <c r="AC9" s="19">
        <f>'P&amp;L'!AA22</f>
        <v>-205446.86093209384</v>
      </c>
      <c r="AD9" s="19">
        <f>'P&amp;L'!AB22</f>
        <v>-200291.84945642878</v>
      </c>
      <c r="AE9" s="19">
        <f>'P&amp;L'!AC22</f>
        <v>-195098.1753946963</v>
      </c>
      <c r="AF9" s="19">
        <f>'P&amp;L'!AD22</f>
        <v>-189865.54877750078</v>
      </c>
      <c r="AG9" s="19">
        <f>'P&amp;L'!AE22</f>
        <v>-184593.67746067629</v>
      </c>
      <c r="AH9" s="19">
        <f>'P&amp;L'!AF22</f>
        <v>-179282.26710897562</v>
      </c>
      <c r="AI9" s="19">
        <f>'P&amp;L'!AG22</f>
        <v>-173931.02117963717</v>
      </c>
      <c r="AJ9" s="19">
        <f>'P&amp;L'!AH22</f>
        <v>-168539.64090582874</v>
      </c>
      <c r="AK9" s="19">
        <f>'P&amp;L'!AI22</f>
        <v>-163107.8252799667</v>
      </c>
      <c r="AL9" s="19">
        <f>'P&amp;L'!AJ22</f>
        <v>-157635.27103691074</v>
      </c>
      <c r="AM9" s="19">
        <f>'P&amp;L'!AK22</f>
        <v>-152121.67263703179</v>
      </c>
    </row>
    <row r="10" spans="1:39" ht="15" customHeight="1" x14ac:dyDescent="0.2">
      <c r="A10" s="11" t="s">
        <v>515</v>
      </c>
      <c r="D10" s="19">
        <f>'P&amp;L'!B24</f>
        <v>0</v>
      </c>
      <c r="E10" s="19">
        <f>'P&amp;L'!C24</f>
        <v>0</v>
      </c>
      <c r="F10" s="19">
        <f>'P&amp;L'!D24</f>
        <v>0</v>
      </c>
      <c r="G10" s="19">
        <f>'P&amp;L'!E24</f>
        <v>0</v>
      </c>
      <c r="H10" s="19">
        <f>'P&amp;L'!F24</f>
        <v>0</v>
      </c>
      <c r="I10" s="19">
        <f>'P&amp;L'!G24</f>
        <v>0</v>
      </c>
      <c r="J10" s="19">
        <f>'P&amp;L'!H24</f>
        <v>0</v>
      </c>
      <c r="K10" s="19">
        <f>'P&amp;L'!I24</f>
        <v>0</v>
      </c>
      <c r="L10" s="19">
        <f>'P&amp;L'!J24</f>
        <v>0</v>
      </c>
      <c r="M10" s="19">
        <f>'P&amp;L'!K24</f>
        <v>0</v>
      </c>
      <c r="N10" s="19">
        <f>'P&amp;L'!L24</f>
        <v>0</v>
      </c>
      <c r="O10" s="19">
        <f>'P&amp;L'!M24</f>
        <v>-1085331.0257842275</v>
      </c>
      <c r="P10" s="19">
        <f>'P&amp;L'!N24</f>
        <v>0</v>
      </c>
      <c r="Q10" s="19">
        <f>'P&amp;L'!O24</f>
        <v>0</v>
      </c>
      <c r="R10" s="19">
        <f>'P&amp;L'!P24</f>
        <v>0</v>
      </c>
      <c r="S10" s="19">
        <f>'P&amp;L'!Q24</f>
        <v>0</v>
      </c>
      <c r="T10" s="19">
        <f>'P&amp;L'!R24</f>
        <v>0</v>
      </c>
      <c r="U10" s="19">
        <f>'P&amp;L'!S24</f>
        <v>0</v>
      </c>
      <c r="V10" s="19">
        <f>'P&amp;L'!T24</f>
        <v>0</v>
      </c>
      <c r="W10" s="19">
        <f>'P&amp;L'!U24</f>
        <v>0</v>
      </c>
      <c r="X10" s="19">
        <f>'P&amp;L'!V24</f>
        <v>0</v>
      </c>
      <c r="Y10" s="19">
        <f>'P&amp;L'!W24</f>
        <v>0</v>
      </c>
      <c r="Z10" s="19">
        <f>'P&amp;L'!X24</f>
        <v>0</v>
      </c>
      <c r="AA10" s="19">
        <f>'P&amp;L'!Y24</f>
        <v>-1904351.1950961808</v>
      </c>
      <c r="AB10" s="19">
        <f>'P&amp;L'!Z24</f>
        <v>0</v>
      </c>
      <c r="AC10" s="19">
        <f>'P&amp;L'!AA24</f>
        <v>0</v>
      </c>
      <c r="AD10" s="19">
        <f>'P&amp;L'!AB24</f>
        <v>0</v>
      </c>
      <c r="AE10" s="19">
        <f>'P&amp;L'!AC24</f>
        <v>0</v>
      </c>
      <c r="AF10" s="19">
        <f>'P&amp;L'!AD24</f>
        <v>0</v>
      </c>
      <c r="AG10" s="19">
        <f>'P&amp;L'!AE24</f>
        <v>0</v>
      </c>
      <c r="AH10" s="19">
        <f>'P&amp;L'!AF24</f>
        <v>0</v>
      </c>
      <c r="AI10" s="19">
        <f>'P&amp;L'!AG24</f>
        <v>0</v>
      </c>
      <c r="AJ10" s="19">
        <f>'P&amp;L'!AH24</f>
        <v>0</v>
      </c>
      <c r="AK10" s="19">
        <f>'P&amp;L'!AI24</f>
        <v>0</v>
      </c>
      <c r="AL10" s="19">
        <f>'P&amp;L'!AJ24</f>
        <v>0</v>
      </c>
      <c r="AM10" s="19">
        <f>'P&amp;L'!AK24</f>
        <v>-3172760.8001526855</v>
      </c>
    </row>
    <row r="11" spans="1:39" ht="15" customHeight="1" x14ac:dyDescent="0.2">
      <c r="A11" s="17" t="s">
        <v>516</v>
      </c>
      <c r="C11" s="21">
        <v>0</v>
      </c>
      <c r="D11" s="21">
        <f t="shared" ref="D11:AM11" si="0">SUM(D6:D10)</f>
        <v>-2152158.8461000002</v>
      </c>
      <c r="E11" s="21">
        <f t="shared" si="0"/>
        <v>-1964012.2610630943</v>
      </c>
      <c r="F11" s="21">
        <f t="shared" si="0"/>
        <v>-1902344.9824679119</v>
      </c>
      <c r="G11" s="21">
        <f t="shared" si="0"/>
        <v>-1838245.9658979452</v>
      </c>
      <c r="H11" s="21">
        <f t="shared" si="0"/>
        <v>-1771584.0256498861</v>
      </c>
      <c r="I11" s="21">
        <f t="shared" si="0"/>
        <v>-1702221.8168954384</v>
      </c>
      <c r="J11" s="21">
        <f t="shared" si="0"/>
        <v>-1570891.9902889798</v>
      </c>
      <c r="K11" s="21">
        <f t="shared" si="0"/>
        <v>-1494508.495511855</v>
      </c>
      <c r="L11" s="21">
        <f t="shared" si="0"/>
        <v>-1414948.8310845564</v>
      </c>
      <c r="M11" s="21">
        <f t="shared" si="0"/>
        <v>-1332047.1990988925</v>
      </c>
      <c r="N11" s="21">
        <f t="shared" si="0"/>
        <v>-1245629.8772731547</v>
      </c>
      <c r="O11" s="21">
        <f t="shared" si="0"/>
        <v>-2240845.8399783559</v>
      </c>
      <c r="P11" s="21">
        <f t="shared" si="0"/>
        <v>-1193570.792881107</v>
      </c>
      <c r="Q11" s="21">
        <f t="shared" si="0"/>
        <v>-1098055.3127694267</v>
      </c>
      <c r="R11" s="21">
        <f t="shared" si="0"/>
        <v>-998494.62860731815</v>
      </c>
      <c r="S11" s="21">
        <f t="shared" si="0"/>
        <v>-895057.14812174509</v>
      </c>
      <c r="T11" s="21">
        <f t="shared" si="0"/>
        <v>-787564.84353880561</v>
      </c>
      <c r="U11" s="21">
        <f t="shared" si="0"/>
        <v>-675832.048097778</v>
      </c>
      <c r="V11" s="21">
        <f t="shared" si="0"/>
        <v>-559665.10807122546</v>
      </c>
      <c r="W11" s="21">
        <f t="shared" si="0"/>
        <v>-438862.01948162244</v>
      </c>
      <c r="X11" s="21">
        <f t="shared" si="0"/>
        <v>-313212.04882381333</v>
      </c>
      <c r="Y11" s="21">
        <f t="shared" si="0"/>
        <v>-182495.33707196056</v>
      </c>
      <c r="Z11" s="21">
        <f t="shared" si="0"/>
        <v>-46482.486217555328</v>
      </c>
      <c r="AA11" s="21">
        <f t="shared" si="0"/>
        <v>-1809285.3226478091</v>
      </c>
      <c r="AB11" s="21">
        <f t="shared" si="0"/>
        <v>-345716.62279197102</v>
      </c>
      <c r="AC11" s="21">
        <f t="shared" si="0"/>
        <v>-212038.65315225607</v>
      </c>
      <c r="AD11" s="21">
        <f t="shared" si="0"/>
        <v>-55736.416595021961</v>
      </c>
      <c r="AE11" s="21">
        <f t="shared" si="0"/>
        <v>104985.17648586992</v>
      </c>
      <c r="AF11" s="21">
        <f t="shared" si="0"/>
        <v>270316.89120345132</v>
      </c>
      <c r="AG11" s="21">
        <f t="shared" si="0"/>
        <v>440455.46774046379</v>
      </c>
      <c r="AH11" s="21">
        <f t="shared" si="0"/>
        <v>615603.86814566446</v>
      </c>
      <c r="AI11" s="21">
        <f t="shared" si="0"/>
        <v>795971.5312932895</v>
      </c>
      <c r="AJ11" s="21">
        <f t="shared" si="0"/>
        <v>981774.63633061247</v>
      </c>
      <c r="AK11" s="21">
        <f t="shared" si="0"/>
        <v>1173236.3749497368</v>
      </c>
      <c r="AL11" s="21">
        <f t="shared" si="0"/>
        <v>1370587.2328313366</v>
      </c>
      <c r="AM11" s="21">
        <f t="shared" si="0"/>
        <v>-1598695.5195326828</v>
      </c>
    </row>
    <row r="13" spans="1:39" ht="15" customHeight="1" x14ac:dyDescent="0.2">
      <c r="A13" s="8" t="s">
        <v>517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</row>
    <row r="14" spans="1:39" ht="15" customHeight="1" x14ac:dyDescent="0.2">
      <c r="A14" s="11" t="s">
        <v>518</v>
      </c>
      <c r="C14" s="19">
        <f>-Financement!B4</f>
        <v>-4900000</v>
      </c>
      <c r="D14" s="20">
        <f>0</f>
        <v>0</v>
      </c>
      <c r="E14" s="20">
        <f>0</f>
        <v>0</v>
      </c>
      <c r="F14" s="20">
        <f>0</f>
        <v>0</v>
      </c>
      <c r="G14" s="20">
        <f>0</f>
        <v>0</v>
      </c>
      <c r="H14" s="20">
        <f>0</f>
        <v>0</v>
      </c>
      <c r="I14" s="20">
        <f>0</f>
        <v>0</v>
      </c>
      <c r="J14" s="20">
        <f>0</f>
        <v>0</v>
      </c>
      <c r="K14" s="20">
        <f>0</f>
        <v>0</v>
      </c>
      <c r="L14" s="20">
        <f>0</f>
        <v>0</v>
      </c>
      <c r="M14" s="20">
        <f>0</f>
        <v>0</v>
      </c>
      <c r="N14" s="20">
        <f>0</f>
        <v>0</v>
      </c>
      <c r="O14" s="20">
        <f>0</f>
        <v>0</v>
      </c>
      <c r="P14" s="20">
        <f>0</f>
        <v>0</v>
      </c>
      <c r="Q14" s="20">
        <f>0</f>
        <v>0</v>
      </c>
      <c r="R14" s="20">
        <f>0</f>
        <v>0</v>
      </c>
      <c r="S14" s="20">
        <f>0</f>
        <v>0</v>
      </c>
      <c r="T14" s="20">
        <f>0</f>
        <v>0</v>
      </c>
      <c r="U14" s="20">
        <f>0</f>
        <v>0</v>
      </c>
      <c r="V14" s="20">
        <f>0</f>
        <v>0</v>
      </c>
      <c r="W14" s="20">
        <f>0</f>
        <v>0</v>
      </c>
      <c r="X14" s="20">
        <f>0</f>
        <v>0</v>
      </c>
      <c r="Y14" s="20">
        <f>0</f>
        <v>0</v>
      </c>
      <c r="Z14" s="20">
        <f>0</f>
        <v>0</v>
      </c>
      <c r="AA14" s="20">
        <f>0</f>
        <v>0</v>
      </c>
      <c r="AB14" s="20">
        <f>0</f>
        <v>0</v>
      </c>
      <c r="AC14" s="20">
        <f>0</f>
        <v>0</v>
      </c>
      <c r="AD14" s="20">
        <f>0</f>
        <v>0</v>
      </c>
      <c r="AE14" s="20">
        <f>0</f>
        <v>0</v>
      </c>
      <c r="AF14" s="20">
        <f>0</f>
        <v>0</v>
      </c>
      <c r="AG14" s="20">
        <f>0</f>
        <v>0</v>
      </c>
      <c r="AH14" s="20">
        <f>0</f>
        <v>0</v>
      </c>
      <c r="AI14" s="20">
        <f>0</f>
        <v>0</v>
      </c>
      <c r="AJ14" s="20">
        <f>0</f>
        <v>0</v>
      </c>
      <c r="AK14" s="20">
        <f>0</f>
        <v>0</v>
      </c>
      <c r="AL14" s="20">
        <f>0</f>
        <v>0</v>
      </c>
      <c r="AM14" s="20">
        <f>0</f>
        <v>0</v>
      </c>
    </row>
    <row r="15" spans="1:39" ht="15" customHeight="1" x14ac:dyDescent="0.2">
      <c r="A15" s="17" t="s">
        <v>519</v>
      </c>
      <c r="C15" s="21">
        <f t="shared" ref="C15:AM15" si="1">C14</f>
        <v>-4900000</v>
      </c>
      <c r="D15" s="21">
        <f t="shared" si="1"/>
        <v>0</v>
      </c>
      <c r="E15" s="21">
        <f t="shared" si="1"/>
        <v>0</v>
      </c>
      <c r="F15" s="21">
        <f t="shared" si="1"/>
        <v>0</v>
      </c>
      <c r="G15" s="21">
        <f t="shared" si="1"/>
        <v>0</v>
      </c>
      <c r="H15" s="21">
        <f t="shared" si="1"/>
        <v>0</v>
      </c>
      <c r="I15" s="21">
        <f t="shared" si="1"/>
        <v>0</v>
      </c>
      <c r="J15" s="21">
        <f t="shared" si="1"/>
        <v>0</v>
      </c>
      <c r="K15" s="21">
        <f t="shared" si="1"/>
        <v>0</v>
      </c>
      <c r="L15" s="21">
        <f t="shared" si="1"/>
        <v>0</v>
      </c>
      <c r="M15" s="21">
        <f t="shared" si="1"/>
        <v>0</v>
      </c>
      <c r="N15" s="21">
        <f t="shared" si="1"/>
        <v>0</v>
      </c>
      <c r="O15" s="21">
        <f t="shared" si="1"/>
        <v>0</v>
      </c>
      <c r="P15" s="21">
        <f t="shared" si="1"/>
        <v>0</v>
      </c>
      <c r="Q15" s="21">
        <f t="shared" si="1"/>
        <v>0</v>
      </c>
      <c r="R15" s="21">
        <f t="shared" si="1"/>
        <v>0</v>
      </c>
      <c r="S15" s="21">
        <f t="shared" si="1"/>
        <v>0</v>
      </c>
      <c r="T15" s="21">
        <f t="shared" si="1"/>
        <v>0</v>
      </c>
      <c r="U15" s="21">
        <f t="shared" si="1"/>
        <v>0</v>
      </c>
      <c r="V15" s="21">
        <f t="shared" si="1"/>
        <v>0</v>
      </c>
      <c r="W15" s="21">
        <f t="shared" si="1"/>
        <v>0</v>
      </c>
      <c r="X15" s="21">
        <f t="shared" si="1"/>
        <v>0</v>
      </c>
      <c r="Y15" s="21">
        <f t="shared" si="1"/>
        <v>0</v>
      </c>
      <c r="Z15" s="21">
        <f t="shared" si="1"/>
        <v>0</v>
      </c>
      <c r="AA15" s="21">
        <f t="shared" si="1"/>
        <v>0</v>
      </c>
      <c r="AB15" s="21">
        <f t="shared" si="1"/>
        <v>0</v>
      </c>
      <c r="AC15" s="21">
        <f t="shared" si="1"/>
        <v>0</v>
      </c>
      <c r="AD15" s="21">
        <f t="shared" si="1"/>
        <v>0</v>
      </c>
      <c r="AE15" s="21">
        <f t="shared" si="1"/>
        <v>0</v>
      </c>
      <c r="AF15" s="21">
        <f t="shared" si="1"/>
        <v>0</v>
      </c>
      <c r="AG15" s="21">
        <f t="shared" si="1"/>
        <v>0</v>
      </c>
      <c r="AH15" s="21">
        <f t="shared" si="1"/>
        <v>0</v>
      </c>
      <c r="AI15" s="21">
        <f t="shared" si="1"/>
        <v>0</v>
      </c>
      <c r="AJ15" s="21">
        <f t="shared" si="1"/>
        <v>0</v>
      </c>
      <c r="AK15" s="21">
        <f t="shared" si="1"/>
        <v>0</v>
      </c>
      <c r="AL15" s="21">
        <f t="shared" si="1"/>
        <v>0</v>
      </c>
      <c r="AM15" s="21">
        <f t="shared" si="1"/>
        <v>0</v>
      </c>
    </row>
    <row r="17" spans="1:39" ht="15" customHeight="1" x14ac:dyDescent="0.2">
      <c r="A17" s="8" t="s">
        <v>520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</row>
    <row r="18" spans="1:39" ht="15" customHeight="1" x14ac:dyDescent="0.2">
      <c r="A18" s="11" t="s">
        <v>86</v>
      </c>
      <c r="C18" s="19">
        <f>Financement!B14</f>
        <v>9000000</v>
      </c>
      <c r="D18" s="20">
        <f>0</f>
        <v>0</v>
      </c>
      <c r="E18" s="20">
        <f>0</f>
        <v>0</v>
      </c>
      <c r="F18" s="20">
        <f>0</f>
        <v>0</v>
      </c>
      <c r="G18" s="20">
        <f>0</f>
        <v>0</v>
      </c>
      <c r="H18" s="20">
        <f>0</f>
        <v>0</v>
      </c>
      <c r="I18" s="20">
        <f>0</f>
        <v>0</v>
      </c>
      <c r="J18" s="20">
        <f>0</f>
        <v>0</v>
      </c>
      <c r="K18" s="20">
        <f>0</f>
        <v>0</v>
      </c>
      <c r="L18" s="20">
        <f>0</f>
        <v>0</v>
      </c>
      <c r="M18" s="20">
        <f>0</f>
        <v>0</v>
      </c>
      <c r="N18" s="20">
        <f>0</f>
        <v>0</v>
      </c>
      <c r="O18" s="20">
        <f>0</f>
        <v>0</v>
      </c>
      <c r="P18" s="20">
        <f>0</f>
        <v>0</v>
      </c>
      <c r="Q18" s="20">
        <f>0</f>
        <v>0</v>
      </c>
      <c r="R18" s="20">
        <f>0</f>
        <v>0</v>
      </c>
      <c r="S18" s="20">
        <f>0</f>
        <v>0</v>
      </c>
      <c r="T18" s="20">
        <f>0</f>
        <v>0</v>
      </c>
      <c r="U18" s="20">
        <f>0</f>
        <v>0</v>
      </c>
      <c r="V18" s="20">
        <f>0</f>
        <v>0</v>
      </c>
      <c r="W18" s="20">
        <f>0</f>
        <v>0</v>
      </c>
      <c r="X18" s="20">
        <f>0</f>
        <v>0</v>
      </c>
      <c r="Y18" s="20">
        <f>0</f>
        <v>0</v>
      </c>
      <c r="Z18" s="20">
        <f>0</f>
        <v>0</v>
      </c>
      <c r="AA18" s="20">
        <f>0</f>
        <v>0</v>
      </c>
      <c r="AB18" s="20">
        <f>0</f>
        <v>0</v>
      </c>
      <c r="AC18" s="20">
        <f>0</f>
        <v>0</v>
      </c>
      <c r="AD18" s="20">
        <f>0</f>
        <v>0</v>
      </c>
      <c r="AE18" s="20">
        <f>0</f>
        <v>0</v>
      </c>
      <c r="AF18" s="20">
        <f>0</f>
        <v>0</v>
      </c>
      <c r="AG18" s="20">
        <f>0</f>
        <v>0</v>
      </c>
      <c r="AH18" s="20">
        <f>0</f>
        <v>0</v>
      </c>
      <c r="AI18" s="20">
        <f>0</f>
        <v>0</v>
      </c>
      <c r="AJ18" s="20">
        <f>0</f>
        <v>0</v>
      </c>
      <c r="AK18" s="20">
        <f>0</f>
        <v>0</v>
      </c>
      <c r="AL18" s="20">
        <f>0</f>
        <v>0</v>
      </c>
      <c r="AM18" s="20">
        <f>0</f>
        <v>0</v>
      </c>
    </row>
    <row r="19" spans="1:39" ht="15" customHeight="1" x14ac:dyDescent="0.2">
      <c r="A19" s="11" t="s">
        <v>521</v>
      </c>
      <c r="C19" s="19">
        <f>Financement!B15</f>
        <v>43008307.480000004</v>
      </c>
      <c r="D19" s="20">
        <f>0</f>
        <v>0</v>
      </c>
      <c r="E19" s="20">
        <f>0</f>
        <v>0</v>
      </c>
      <c r="F19" s="20">
        <f>0</f>
        <v>0</v>
      </c>
      <c r="G19" s="20">
        <f>0</f>
        <v>0</v>
      </c>
      <c r="H19" s="20">
        <f>0</f>
        <v>0</v>
      </c>
      <c r="I19" s="20">
        <f>0</f>
        <v>0</v>
      </c>
      <c r="J19" s="20">
        <f>0</f>
        <v>0</v>
      </c>
      <c r="K19" s="20">
        <f>0</f>
        <v>0</v>
      </c>
      <c r="L19" s="20">
        <f>0</f>
        <v>0</v>
      </c>
      <c r="M19" s="20">
        <f>0</f>
        <v>0</v>
      </c>
      <c r="N19" s="20">
        <f>0</f>
        <v>0</v>
      </c>
      <c r="O19" s="20">
        <f>0</f>
        <v>0</v>
      </c>
      <c r="P19" s="20">
        <f>0</f>
        <v>0</v>
      </c>
      <c r="Q19" s="20">
        <f>0</f>
        <v>0</v>
      </c>
      <c r="R19" s="20">
        <f>0</f>
        <v>0</v>
      </c>
      <c r="S19" s="20">
        <f>0</f>
        <v>0</v>
      </c>
      <c r="T19" s="20">
        <f>0</f>
        <v>0</v>
      </c>
      <c r="U19" s="20">
        <f>0</f>
        <v>0</v>
      </c>
      <c r="V19" s="20">
        <f>0</f>
        <v>0</v>
      </c>
      <c r="W19" s="20">
        <f>0</f>
        <v>0</v>
      </c>
      <c r="X19" s="20">
        <f>0</f>
        <v>0</v>
      </c>
      <c r="Y19" s="20">
        <f>0</f>
        <v>0</v>
      </c>
      <c r="Z19" s="20">
        <f>0</f>
        <v>0</v>
      </c>
      <c r="AA19" s="20">
        <f>0</f>
        <v>0</v>
      </c>
      <c r="AB19" s="20">
        <f>0</f>
        <v>0</v>
      </c>
      <c r="AC19" s="20">
        <f>0</f>
        <v>0</v>
      </c>
      <c r="AD19" s="20">
        <f>0</f>
        <v>0</v>
      </c>
      <c r="AE19" s="20">
        <f>0</f>
        <v>0</v>
      </c>
      <c r="AF19" s="20">
        <f>0</f>
        <v>0</v>
      </c>
      <c r="AG19" s="20">
        <f>0</f>
        <v>0</v>
      </c>
      <c r="AH19" s="20">
        <f>0</f>
        <v>0</v>
      </c>
      <c r="AI19" s="20">
        <f>0</f>
        <v>0</v>
      </c>
      <c r="AJ19" s="20">
        <f>0</f>
        <v>0</v>
      </c>
      <c r="AK19" s="20">
        <f>0</f>
        <v>0</v>
      </c>
      <c r="AL19" s="20">
        <f>0</f>
        <v>0</v>
      </c>
      <c r="AM19" s="20">
        <f>0</f>
        <v>0</v>
      </c>
    </row>
    <row r="20" spans="1:39" ht="15" customHeight="1" x14ac:dyDescent="0.2">
      <c r="A20" s="11" t="s">
        <v>522</v>
      </c>
      <c r="D20" s="19">
        <f>-Financement!C33</f>
        <v>-570219.41825409816</v>
      </c>
      <c r="E20" s="19">
        <f>-Financement!D33</f>
        <v>-574496.06389100396</v>
      </c>
      <c r="F20" s="19">
        <f>-Financement!E33</f>
        <v>-578804.78437018651</v>
      </c>
      <c r="G20" s="19">
        <f>-Financement!F33</f>
        <v>-583145.82025296288</v>
      </c>
      <c r="H20" s="19">
        <f>-Financement!G33</f>
        <v>-587519.41390486003</v>
      </c>
      <c r="I20" s="19">
        <f>-Financement!H33</f>
        <v>-591925.80950914661</v>
      </c>
      <c r="J20" s="19">
        <f>-Financement!I33</f>
        <v>-596365.25308046525</v>
      </c>
      <c r="K20" s="19">
        <f>-Financement!J33</f>
        <v>-600837.99247856869</v>
      </c>
      <c r="L20" s="19">
        <f>-Financement!K33</f>
        <v>-605344.27742215793</v>
      </c>
      <c r="M20" s="19">
        <f>-Financement!L33</f>
        <v>-609884.35950282414</v>
      </c>
      <c r="N20" s="19">
        <f>-Financement!M33</f>
        <v>-614458.49219909532</v>
      </c>
      <c r="O20" s="19">
        <f>-Financement!N33</f>
        <v>-619066.93089058856</v>
      </c>
      <c r="P20" s="19">
        <f>-Financement!O33</f>
        <v>-623709.93287226802</v>
      </c>
      <c r="Q20" s="19">
        <f>-Financement!P33</f>
        <v>-628387.75736881001</v>
      </c>
      <c r="R20" s="19">
        <f>-Financement!Q33</f>
        <v>-633100.66554907605</v>
      </c>
      <c r="S20" s="19">
        <f>-Financement!R33</f>
        <v>-637848.92054069415</v>
      </c>
      <c r="T20" s="19">
        <f>-Financement!S33</f>
        <v>-642632.78744474926</v>
      </c>
      <c r="U20" s="19">
        <f>-Financement!T33</f>
        <v>-647452.53335058491</v>
      </c>
      <c r="V20" s="19">
        <f>-Financement!U33</f>
        <v>-652308.42735071422</v>
      </c>
      <c r="W20" s="19">
        <f>-Financement!V33</f>
        <v>-657200.74055584474</v>
      </c>
      <c r="X20" s="19">
        <f>-Financement!W33</f>
        <v>-662129.74611001357</v>
      </c>
      <c r="Y20" s="19">
        <f>-Financement!X33</f>
        <v>-667095.71920583851</v>
      </c>
      <c r="Z20" s="19">
        <f>-Financement!Y33</f>
        <v>-672098.93709988252</v>
      </c>
      <c r="AA20" s="19">
        <f>-Financement!Z33</f>
        <v>-677139.6791281316</v>
      </c>
      <c r="AB20" s="19">
        <f>-Financement!AA33</f>
        <v>-682218.2267215926</v>
      </c>
      <c r="AC20" s="19">
        <f>-Financement!AB33</f>
        <v>-687334.86342200439</v>
      </c>
      <c r="AD20" s="19">
        <f>-Financement!AC33</f>
        <v>-692489.87489766954</v>
      </c>
      <c r="AE20" s="19">
        <f>-Financement!AD33</f>
        <v>-697683.54895940213</v>
      </c>
      <c r="AF20" s="19">
        <f>-Financement!AE33</f>
        <v>-702916.17557659745</v>
      </c>
      <c r="AG20" s="19">
        <f>-Financement!AF33</f>
        <v>-708188.04689342203</v>
      </c>
      <c r="AH20" s="19">
        <f>-Financement!AG33</f>
        <v>-713499.45724512276</v>
      </c>
      <c r="AI20" s="19">
        <f>-Financement!AH33</f>
        <v>-718850.70317446114</v>
      </c>
      <c r="AJ20" s="19">
        <f>-Financement!AI33</f>
        <v>-724242.08344826964</v>
      </c>
      <c r="AK20" s="19">
        <f>-Financement!AJ33</f>
        <v>-729673.89907413162</v>
      </c>
      <c r="AL20" s="19">
        <f>-Financement!AK33</f>
        <v>-735146.45331718761</v>
      </c>
      <c r="AM20" s="19">
        <f>-Financement!AL33</f>
        <v>-740660.05171706644</v>
      </c>
    </row>
    <row r="21" spans="1:39" ht="15" customHeight="1" x14ac:dyDescent="0.2">
      <c r="A21" s="17" t="s">
        <v>523</v>
      </c>
      <c r="C21" s="21">
        <f t="shared" ref="C21:AM21" si="2">SUM(C18:C20)</f>
        <v>52008307.480000004</v>
      </c>
      <c r="D21" s="21">
        <f t="shared" si="2"/>
        <v>-570219.41825409816</v>
      </c>
      <c r="E21" s="21">
        <f t="shared" si="2"/>
        <v>-574496.06389100396</v>
      </c>
      <c r="F21" s="21">
        <f t="shared" si="2"/>
        <v>-578804.78437018651</v>
      </c>
      <c r="G21" s="21">
        <f t="shared" si="2"/>
        <v>-583145.82025296288</v>
      </c>
      <c r="H21" s="21">
        <f t="shared" si="2"/>
        <v>-587519.41390486003</v>
      </c>
      <c r="I21" s="21">
        <f t="shared" si="2"/>
        <v>-591925.80950914661</v>
      </c>
      <c r="J21" s="21">
        <f t="shared" si="2"/>
        <v>-596365.25308046525</v>
      </c>
      <c r="K21" s="21">
        <f t="shared" si="2"/>
        <v>-600837.99247856869</v>
      </c>
      <c r="L21" s="21">
        <f t="shared" si="2"/>
        <v>-605344.27742215793</v>
      </c>
      <c r="M21" s="21">
        <f t="shared" si="2"/>
        <v>-609884.35950282414</v>
      </c>
      <c r="N21" s="21">
        <f t="shared" si="2"/>
        <v>-614458.49219909532</v>
      </c>
      <c r="O21" s="21">
        <f t="shared" si="2"/>
        <v>-619066.93089058856</v>
      </c>
      <c r="P21" s="21">
        <f t="shared" si="2"/>
        <v>-623709.93287226802</v>
      </c>
      <c r="Q21" s="21">
        <f t="shared" si="2"/>
        <v>-628387.75736881001</v>
      </c>
      <c r="R21" s="21">
        <f t="shared" si="2"/>
        <v>-633100.66554907605</v>
      </c>
      <c r="S21" s="21">
        <f t="shared" si="2"/>
        <v>-637848.92054069415</v>
      </c>
      <c r="T21" s="21">
        <f t="shared" si="2"/>
        <v>-642632.78744474926</v>
      </c>
      <c r="U21" s="21">
        <f t="shared" si="2"/>
        <v>-647452.53335058491</v>
      </c>
      <c r="V21" s="21">
        <f t="shared" si="2"/>
        <v>-652308.42735071422</v>
      </c>
      <c r="W21" s="21">
        <f t="shared" si="2"/>
        <v>-657200.74055584474</v>
      </c>
      <c r="X21" s="21">
        <f t="shared" si="2"/>
        <v>-662129.74611001357</v>
      </c>
      <c r="Y21" s="21">
        <f t="shared" si="2"/>
        <v>-667095.71920583851</v>
      </c>
      <c r="Z21" s="21">
        <f t="shared" si="2"/>
        <v>-672098.93709988252</v>
      </c>
      <c r="AA21" s="21">
        <f t="shared" si="2"/>
        <v>-677139.6791281316</v>
      </c>
      <c r="AB21" s="21">
        <f t="shared" si="2"/>
        <v>-682218.2267215926</v>
      </c>
      <c r="AC21" s="21">
        <f t="shared" si="2"/>
        <v>-687334.86342200439</v>
      </c>
      <c r="AD21" s="21">
        <f t="shared" si="2"/>
        <v>-692489.87489766954</v>
      </c>
      <c r="AE21" s="21">
        <f t="shared" si="2"/>
        <v>-697683.54895940213</v>
      </c>
      <c r="AF21" s="21">
        <f t="shared" si="2"/>
        <v>-702916.17557659745</v>
      </c>
      <c r="AG21" s="21">
        <f t="shared" si="2"/>
        <v>-708188.04689342203</v>
      </c>
      <c r="AH21" s="21">
        <f t="shared" si="2"/>
        <v>-713499.45724512276</v>
      </c>
      <c r="AI21" s="21">
        <f t="shared" si="2"/>
        <v>-718850.70317446114</v>
      </c>
      <c r="AJ21" s="21">
        <f t="shared" si="2"/>
        <v>-724242.08344826964</v>
      </c>
      <c r="AK21" s="21">
        <f t="shared" si="2"/>
        <v>-729673.89907413162</v>
      </c>
      <c r="AL21" s="21">
        <f t="shared" si="2"/>
        <v>-735146.45331718761</v>
      </c>
      <c r="AM21" s="21">
        <f t="shared" si="2"/>
        <v>-740660.05171706644</v>
      </c>
    </row>
    <row r="23" spans="1:39" ht="15" customHeight="1" x14ac:dyDescent="0.2">
      <c r="A23" s="17" t="s">
        <v>524</v>
      </c>
      <c r="C23" s="21">
        <f t="shared" ref="C23:AM23" si="3">C11+C15+C21</f>
        <v>47108307.480000004</v>
      </c>
      <c r="D23" s="21">
        <f t="shared" si="3"/>
        <v>-2722378.2643540986</v>
      </c>
      <c r="E23" s="21">
        <f t="shared" si="3"/>
        <v>-2538508.3249540981</v>
      </c>
      <c r="F23" s="21">
        <f t="shared" si="3"/>
        <v>-2481149.7668380984</v>
      </c>
      <c r="G23" s="21">
        <f t="shared" si="3"/>
        <v>-2421391.7861509081</v>
      </c>
      <c r="H23" s="21">
        <f t="shared" si="3"/>
        <v>-2359103.4395547463</v>
      </c>
      <c r="I23" s="21">
        <f t="shared" si="3"/>
        <v>-2294147.6264045849</v>
      </c>
      <c r="J23" s="21">
        <f t="shared" si="3"/>
        <v>-2167257.2433694452</v>
      </c>
      <c r="K23" s="21">
        <f t="shared" si="3"/>
        <v>-2095346.4879904236</v>
      </c>
      <c r="L23" s="21">
        <f t="shared" si="3"/>
        <v>-2020293.1085067145</v>
      </c>
      <c r="M23" s="21">
        <f t="shared" si="3"/>
        <v>-1941931.5586017165</v>
      </c>
      <c r="N23" s="21">
        <f t="shared" si="3"/>
        <v>-1860088.3694722499</v>
      </c>
      <c r="O23" s="21">
        <f t="shared" si="3"/>
        <v>-2859912.7708689445</v>
      </c>
      <c r="P23" s="21">
        <f t="shared" si="3"/>
        <v>-1817280.7257533749</v>
      </c>
      <c r="Q23" s="21">
        <f t="shared" si="3"/>
        <v>-1726443.0701382367</v>
      </c>
      <c r="R23" s="21">
        <f t="shared" si="3"/>
        <v>-1631595.2941563942</v>
      </c>
      <c r="S23" s="21">
        <f t="shared" si="3"/>
        <v>-1532906.0686624392</v>
      </c>
      <c r="T23" s="21">
        <f t="shared" si="3"/>
        <v>-1430197.6309835548</v>
      </c>
      <c r="U23" s="21">
        <f t="shared" si="3"/>
        <v>-1323284.5814483629</v>
      </c>
      <c r="V23" s="21">
        <f t="shared" si="3"/>
        <v>-1211973.5354219396</v>
      </c>
      <c r="W23" s="21">
        <f t="shared" si="3"/>
        <v>-1096062.7600374671</v>
      </c>
      <c r="X23" s="21">
        <f t="shared" si="3"/>
        <v>-975341.7949338269</v>
      </c>
      <c r="Y23" s="21">
        <f t="shared" si="3"/>
        <v>-849591.05627779907</v>
      </c>
      <c r="Z23" s="21">
        <f t="shared" si="3"/>
        <v>-718581.42331743788</v>
      </c>
      <c r="AA23" s="21">
        <f t="shared" si="3"/>
        <v>-2486425.0017759409</v>
      </c>
      <c r="AB23" s="21">
        <f t="shared" si="3"/>
        <v>-1027934.8495135636</v>
      </c>
      <c r="AC23" s="21">
        <f t="shared" si="3"/>
        <v>-899373.51657426043</v>
      </c>
      <c r="AD23" s="21">
        <f t="shared" si="3"/>
        <v>-748226.2914926915</v>
      </c>
      <c r="AE23" s="21">
        <f t="shared" si="3"/>
        <v>-592698.37247353222</v>
      </c>
      <c r="AF23" s="21">
        <f t="shared" si="3"/>
        <v>-432599.28437314613</v>
      </c>
      <c r="AG23" s="21">
        <f t="shared" si="3"/>
        <v>-267732.57915295823</v>
      </c>
      <c r="AH23" s="21">
        <f t="shared" si="3"/>
        <v>-97895.589099458302</v>
      </c>
      <c r="AI23" s="21">
        <f t="shared" si="3"/>
        <v>77120.828118828358</v>
      </c>
      <c r="AJ23" s="21">
        <f t="shared" si="3"/>
        <v>257532.55288234283</v>
      </c>
      <c r="AK23" s="21">
        <f t="shared" si="3"/>
        <v>443562.47587560513</v>
      </c>
      <c r="AL23" s="21">
        <f t="shared" si="3"/>
        <v>635440.77951414895</v>
      </c>
      <c r="AM23" s="21">
        <f t="shared" si="3"/>
        <v>-2339355.5712497495</v>
      </c>
    </row>
    <row r="24" spans="1:39" ht="15" customHeight="1" x14ac:dyDescent="0.2">
      <c r="A24" s="11" t="s">
        <v>525</v>
      </c>
      <c r="C24" s="20">
        <v>0</v>
      </c>
      <c r="D24" s="20">
        <f t="shared" ref="D24:AM24" si="4">C25</f>
        <v>47108307.480000004</v>
      </c>
      <c r="E24" s="20">
        <f t="shared" si="4"/>
        <v>44385929.215645909</v>
      </c>
      <c r="F24" s="20">
        <f t="shared" si="4"/>
        <v>41847420.890691809</v>
      </c>
      <c r="G24" s="20">
        <f t="shared" si="4"/>
        <v>39366271.123853713</v>
      </c>
      <c r="H24" s="20">
        <f t="shared" si="4"/>
        <v>36944879.337702803</v>
      </c>
      <c r="I24" s="20">
        <f t="shared" si="4"/>
        <v>34585775.89814806</v>
      </c>
      <c r="J24" s="20">
        <f t="shared" si="4"/>
        <v>32291628.271743476</v>
      </c>
      <c r="K24" s="20">
        <f t="shared" si="4"/>
        <v>30124371.028374031</v>
      </c>
      <c r="L24" s="20">
        <f t="shared" si="4"/>
        <v>28029024.540383607</v>
      </c>
      <c r="M24" s="20">
        <f t="shared" si="4"/>
        <v>26008731.431876894</v>
      </c>
      <c r="N24" s="20">
        <f t="shared" si="4"/>
        <v>24066799.873275176</v>
      </c>
      <c r="O24" s="20">
        <f t="shared" si="4"/>
        <v>22206711.503802925</v>
      </c>
      <c r="P24" s="20">
        <f t="shared" si="4"/>
        <v>19346798.732933979</v>
      </c>
      <c r="Q24" s="20">
        <f t="shared" si="4"/>
        <v>17529518.007180605</v>
      </c>
      <c r="R24" s="20">
        <f t="shared" si="4"/>
        <v>15803074.937042369</v>
      </c>
      <c r="S24" s="20">
        <f t="shared" si="4"/>
        <v>14171479.642885974</v>
      </c>
      <c r="T24" s="20">
        <f t="shared" si="4"/>
        <v>12638573.574223535</v>
      </c>
      <c r="U24" s="20">
        <f t="shared" si="4"/>
        <v>11208375.943239979</v>
      </c>
      <c r="V24" s="20">
        <f t="shared" si="4"/>
        <v>9885091.3617916163</v>
      </c>
      <c r="W24" s="20">
        <f t="shared" si="4"/>
        <v>8673117.8263696767</v>
      </c>
      <c r="X24" s="20">
        <f t="shared" si="4"/>
        <v>7577055.0663322099</v>
      </c>
      <c r="Y24" s="20">
        <f t="shared" si="4"/>
        <v>6601713.2713983832</v>
      </c>
      <c r="Z24" s="20">
        <f t="shared" si="4"/>
        <v>5752122.2151205838</v>
      </c>
      <c r="AA24" s="20">
        <f t="shared" si="4"/>
        <v>5033540.7918031458</v>
      </c>
      <c r="AB24" s="20">
        <f t="shared" si="4"/>
        <v>2547115.7900272049</v>
      </c>
      <c r="AC24" s="20">
        <f t="shared" si="4"/>
        <v>1519180.9405136413</v>
      </c>
      <c r="AD24" s="20">
        <f t="shared" si="4"/>
        <v>619807.42393938091</v>
      </c>
      <c r="AE24" s="20">
        <f t="shared" si="4"/>
        <v>-128418.86755331059</v>
      </c>
      <c r="AF24" s="20">
        <f t="shared" si="4"/>
        <v>-721117.2400268428</v>
      </c>
      <c r="AG24" s="20">
        <f t="shared" si="4"/>
        <v>-1153716.5243999888</v>
      </c>
      <c r="AH24" s="20">
        <f t="shared" si="4"/>
        <v>-1421449.1035529471</v>
      </c>
      <c r="AI24" s="20">
        <f t="shared" si="4"/>
        <v>-1519344.6926524052</v>
      </c>
      <c r="AJ24" s="20">
        <f t="shared" si="4"/>
        <v>-1442223.8645335769</v>
      </c>
      <c r="AK24" s="20">
        <f t="shared" si="4"/>
        <v>-1184691.311651234</v>
      </c>
      <c r="AL24" s="20">
        <f t="shared" si="4"/>
        <v>-741128.83577562892</v>
      </c>
      <c r="AM24" s="20">
        <f t="shared" si="4"/>
        <v>-105688.05626147997</v>
      </c>
    </row>
    <row r="25" spans="1:39" ht="15" customHeight="1" x14ac:dyDescent="0.2">
      <c r="A25" s="17" t="s">
        <v>526</v>
      </c>
      <c r="C25" s="21">
        <f t="shared" ref="C25:AM25" si="5">C23+C24</f>
        <v>47108307.480000004</v>
      </c>
      <c r="D25" s="21">
        <f t="shared" si="5"/>
        <v>44385929.215645909</v>
      </c>
      <c r="E25" s="21">
        <f t="shared" si="5"/>
        <v>41847420.890691809</v>
      </c>
      <c r="F25" s="21">
        <f t="shared" si="5"/>
        <v>39366271.123853713</v>
      </c>
      <c r="G25" s="21">
        <f t="shared" si="5"/>
        <v>36944879.337702803</v>
      </c>
      <c r="H25" s="21">
        <f t="shared" si="5"/>
        <v>34585775.89814806</v>
      </c>
      <c r="I25" s="21">
        <f t="shared" si="5"/>
        <v>32291628.271743476</v>
      </c>
      <c r="J25" s="21">
        <f t="shared" si="5"/>
        <v>30124371.028374031</v>
      </c>
      <c r="K25" s="21">
        <f t="shared" si="5"/>
        <v>28029024.540383607</v>
      </c>
      <c r="L25" s="21">
        <f t="shared" si="5"/>
        <v>26008731.431876894</v>
      </c>
      <c r="M25" s="21">
        <f t="shared" si="5"/>
        <v>24066799.873275176</v>
      </c>
      <c r="N25" s="21">
        <f t="shared" si="5"/>
        <v>22206711.503802925</v>
      </c>
      <c r="O25" s="21">
        <f t="shared" si="5"/>
        <v>19346798.732933979</v>
      </c>
      <c r="P25" s="21">
        <f t="shared" si="5"/>
        <v>17529518.007180605</v>
      </c>
      <c r="Q25" s="21">
        <f t="shared" si="5"/>
        <v>15803074.937042369</v>
      </c>
      <c r="R25" s="21">
        <f t="shared" si="5"/>
        <v>14171479.642885974</v>
      </c>
      <c r="S25" s="21">
        <f t="shared" si="5"/>
        <v>12638573.574223535</v>
      </c>
      <c r="T25" s="21">
        <f t="shared" si="5"/>
        <v>11208375.943239979</v>
      </c>
      <c r="U25" s="21">
        <f t="shared" si="5"/>
        <v>9885091.3617916163</v>
      </c>
      <c r="V25" s="21">
        <f t="shared" si="5"/>
        <v>8673117.8263696767</v>
      </c>
      <c r="W25" s="21">
        <f t="shared" si="5"/>
        <v>7577055.0663322099</v>
      </c>
      <c r="X25" s="21">
        <f t="shared" si="5"/>
        <v>6601713.2713983832</v>
      </c>
      <c r="Y25" s="21">
        <f t="shared" si="5"/>
        <v>5752122.2151205838</v>
      </c>
      <c r="Z25" s="21">
        <f t="shared" si="5"/>
        <v>5033540.7918031458</v>
      </c>
      <c r="AA25" s="21">
        <f t="shared" si="5"/>
        <v>2547115.7900272049</v>
      </c>
      <c r="AB25" s="21">
        <f t="shared" si="5"/>
        <v>1519180.9405136413</v>
      </c>
      <c r="AC25" s="21">
        <f t="shared" si="5"/>
        <v>619807.42393938091</v>
      </c>
      <c r="AD25" s="21">
        <f t="shared" si="5"/>
        <v>-128418.86755331059</v>
      </c>
      <c r="AE25" s="21">
        <f t="shared" si="5"/>
        <v>-721117.2400268428</v>
      </c>
      <c r="AF25" s="21">
        <f t="shared" si="5"/>
        <v>-1153716.5243999888</v>
      </c>
      <c r="AG25" s="21">
        <f t="shared" si="5"/>
        <v>-1421449.1035529471</v>
      </c>
      <c r="AH25" s="21">
        <f t="shared" si="5"/>
        <v>-1519344.6926524052</v>
      </c>
      <c r="AI25" s="21">
        <f t="shared" si="5"/>
        <v>-1442223.8645335769</v>
      </c>
      <c r="AJ25" s="21">
        <f t="shared" si="5"/>
        <v>-1184691.311651234</v>
      </c>
      <c r="AK25" s="21">
        <f t="shared" si="5"/>
        <v>-741128.83577562892</v>
      </c>
      <c r="AL25" s="21">
        <f t="shared" si="5"/>
        <v>-105688.05626147997</v>
      </c>
      <c r="AM25" s="21">
        <f t="shared" si="5"/>
        <v>-2445043.6275112294</v>
      </c>
    </row>
    <row r="27" spans="1:39" ht="15" customHeight="1" x14ac:dyDescent="0.2">
      <c r="A27" s="11" t="s">
        <v>527</v>
      </c>
      <c r="D27" s="20">
        <f t="shared" ref="D27:AM27" si="6">MAX(0,-(D11+D15))</f>
        <v>2152158.8461000002</v>
      </c>
      <c r="E27" s="20">
        <f t="shared" si="6"/>
        <v>1964012.2610630943</v>
      </c>
      <c r="F27" s="20">
        <f t="shared" si="6"/>
        <v>1902344.9824679119</v>
      </c>
      <c r="G27" s="20">
        <f t="shared" si="6"/>
        <v>1838245.9658979452</v>
      </c>
      <c r="H27" s="20">
        <f t="shared" si="6"/>
        <v>1771584.0256498861</v>
      </c>
      <c r="I27" s="20">
        <f t="shared" si="6"/>
        <v>1702221.8168954384</v>
      </c>
      <c r="J27" s="20">
        <f t="shared" si="6"/>
        <v>1570891.9902889798</v>
      </c>
      <c r="K27" s="20">
        <f t="shared" si="6"/>
        <v>1494508.495511855</v>
      </c>
      <c r="L27" s="20">
        <f t="shared" si="6"/>
        <v>1414948.8310845564</v>
      </c>
      <c r="M27" s="20">
        <f t="shared" si="6"/>
        <v>1332047.1990988925</v>
      </c>
      <c r="N27" s="20">
        <f t="shared" si="6"/>
        <v>1245629.8772731547</v>
      </c>
      <c r="O27" s="20">
        <f t="shared" si="6"/>
        <v>2240845.8399783559</v>
      </c>
      <c r="P27" s="20">
        <f t="shared" si="6"/>
        <v>1193570.792881107</v>
      </c>
      <c r="Q27" s="20">
        <f t="shared" si="6"/>
        <v>1098055.3127694267</v>
      </c>
      <c r="R27" s="20">
        <f t="shared" si="6"/>
        <v>998494.62860731815</v>
      </c>
      <c r="S27" s="20">
        <f t="shared" si="6"/>
        <v>895057.14812174509</v>
      </c>
      <c r="T27" s="20">
        <f t="shared" si="6"/>
        <v>787564.84353880561</v>
      </c>
      <c r="U27" s="20">
        <f t="shared" si="6"/>
        <v>675832.048097778</v>
      </c>
      <c r="V27" s="20">
        <f t="shared" si="6"/>
        <v>559665.10807122546</v>
      </c>
      <c r="W27" s="20">
        <f t="shared" si="6"/>
        <v>438862.01948162244</v>
      </c>
      <c r="X27" s="20">
        <f t="shared" si="6"/>
        <v>313212.04882381333</v>
      </c>
      <c r="Y27" s="20">
        <f t="shared" si="6"/>
        <v>182495.33707196056</v>
      </c>
      <c r="Z27" s="20">
        <f t="shared" si="6"/>
        <v>46482.486217555328</v>
      </c>
      <c r="AA27" s="20">
        <f t="shared" si="6"/>
        <v>1809285.3226478091</v>
      </c>
      <c r="AB27" s="20">
        <f t="shared" si="6"/>
        <v>345716.62279197102</v>
      </c>
      <c r="AC27" s="20">
        <f t="shared" si="6"/>
        <v>212038.65315225607</v>
      </c>
      <c r="AD27" s="20">
        <f t="shared" si="6"/>
        <v>55736.416595021961</v>
      </c>
      <c r="AE27" s="20">
        <f t="shared" si="6"/>
        <v>0</v>
      </c>
      <c r="AF27" s="20">
        <f t="shared" si="6"/>
        <v>0</v>
      </c>
      <c r="AG27" s="20">
        <f t="shared" si="6"/>
        <v>0</v>
      </c>
      <c r="AH27" s="20">
        <f t="shared" si="6"/>
        <v>0</v>
      </c>
      <c r="AI27" s="20">
        <f t="shared" si="6"/>
        <v>0</v>
      </c>
      <c r="AJ27" s="20">
        <f t="shared" si="6"/>
        <v>0</v>
      </c>
      <c r="AK27" s="20">
        <f t="shared" si="6"/>
        <v>0</v>
      </c>
      <c r="AL27" s="20">
        <f t="shared" si="6"/>
        <v>0</v>
      </c>
      <c r="AM27" s="20">
        <f t="shared" si="6"/>
        <v>1598695.5195326828</v>
      </c>
    </row>
    <row r="28" spans="1:39" ht="15" customHeight="1" x14ac:dyDescent="0.2">
      <c r="A28" s="11" t="s">
        <v>528</v>
      </c>
      <c r="D28" s="18">
        <f t="shared" ref="D28:AM28" si="7">IF(D27&gt;0,D25/D27,"∞")</f>
        <v>20.623909474005206</v>
      </c>
      <c r="E28" s="18">
        <f t="shared" si="7"/>
        <v>21.307107761150302</v>
      </c>
      <c r="F28" s="18">
        <f t="shared" si="7"/>
        <v>20.693550058824691</v>
      </c>
      <c r="G28" s="18">
        <f t="shared" si="7"/>
        <v>20.097897682400728</v>
      </c>
      <c r="H28" s="18">
        <f t="shared" si="7"/>
        <v>19.522515103657387</v>
      </c>
      <c r="I28" s="18">
        <f t="shared" si="7"/>
        <v>18.970282222464924</v>
      </c>
      <c r="J28" s="18">
        <f t="shared" si="7"/>
        <v>19.176602347327762</v>
      </c>
      <c r="K28" s="18">
        <f t="shared" si="7"/>
        <v>18.75467728992998</v>
      </c>
      <c r="L28" s="18">
        <f t="shared" si="7"/>
        <v>18.381393630991756</v>
      </c>
      <c r="M28" s="18">
        <f t="shared" si="7"/>
        <v>18.067527854535456</v>
      </c>
      <c r="N28" s="18">
        <f t="shared" si="7"/>
        <v>17.82769658063782</v>
      </c>
      <c r="O28" s="18">
        <f t="shared" si="7"/>
        <v>8.6337035720051354</v>
      </c>
      <c r="P28" s="18">
        <f t="shared" si="7"/>
        <v>14.686617762208213</v>
      </c>
      <c r="Q28" s="18">
        <f t="shared" si="7"/>
        <v>14.391875120739705</v>
      </c>
      <c r="R28" s="18">
        <f t="shared" si="7"/>
        <v>14.19284514594945</v>
      </c>
      <c r="S28" s="18">
        <f t="shared" si="7"/>
        <v>14.120409630541763</v>
      </c>
      <c r="T28" s="18">
        <f t="shared" si="7"/>
        <v>14.231686489301385</v>
      </c>
      <c r="U28" s="18">
        <f t="shared" si="7"/>
        <v>14.626550175616208</v>
      </c>
      <c r="V28" s="18">
        <f t="shared" si="7"/>
        <v>15.496977927139058</v>
      </c>
      <c r="W28" s="18">
        <f t="shared" si="7"/>
        <v>17.26523310283747</v>
      </c>
      <c r="X28" s="18">
        <f t="shared" si="7"/>
        <v>21.077456298981492</v>
      </c>
      <c r="Y28" s="18">
        <f t="shared" si="7"/>
        <v>31.519283217918268</v>
      </c>
      <c r="Z28" s="18">
        <f t="shared" si="7"/>
        <v>108.28897508287966</v>
      </c>
      <c r="AA28" s="18">
        <f t="shared" si="7"/>
        <v>1.4078021626238661</v>
      </c>
      <c r="AB28" s="18">
        <f t="shared" si="7"/>
        <v>4.3942953284828947</v>
      </c>
      <c r="AC28" s="18">
        <f t="shared" si="7"/>
        <v>2.9230869689326084</v>
      </c>
      <c r="AD28" s="18">
        <f t="shared" si="7"/>
        <v>-2.3040388205505873</v>
      </c>
      <c r="AE28" s="18" t="str">
        <f t="shared" si="7"/>
        <v>∞</v>
      </c>
      <c r="AF28" s="18" t="str">
        <f t="shared" si="7"/>
        <v>∞</v>
      </c>
      <c r="AG28" s="18" t="str">
        <f t="shared" si="7"/>
        <v>∞</v>
      </c>
      <c r="AH28" s="18" t="str">
        <f t="shared" si="7"/>
        <v>∞</v>
      </c>
      <c r="AI28" s="18" t="str">
        <f t="shared" si="7"/>
        <v>∞</v>
      </c>
      <c r="AJ28" s="18" t="str">
        <f t="shared" si="7"/>
        <v>∞</v>
      </c>
      <c r="AK28" s="18" t="str">
        <f t="shared" si="7"/>
        <v>∞</v>
      </c>
      <c r="AL28" s="18" t="str">
        <f t="shared" si="7"/>
        <v>∞</v>
      </c>
      <c r="AM28" s="18">
        <f t="shared" si="7"/>
        <v>-1.5293991867982115</v>
      </c>
    </row>
    <row r="30" spans="1:39" ht="15" customHeight="1" x14ac:dyDescent="0.2">
      <c r="A30" s="11" t="s">
        <v>529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K90"/>
  <sheetViews>
    <sheetView showGridLines="0" zoomScale="110" zoomScaleNormal="110" workbookViewId="0">
      <pane xSplit="1" ySplit="3" topLeftCell="B4" activePane="bottomRight" state="frozen"/>
      <selection pane="topRight" activeCell="B53" sqref="B53"/>
      <selection pane="bottomLeft" activeCell="B53" sqref="B53"/>
      <selection pane="bottomRight" activeCell="F20" sqref="F20"/>
    </sheetView>
  </sheetViews>
  <sheetFormatPr baseColWidth="10" defaultColWidth="8.83203125" defaultRowHeight="15" x14ac:dyDescent="0.2"/>
  <cols>
    <col min="1" max="1" width="80" customWidth="1"/>
    <col min="2" max="37" width="11" customWidth="1"/>
  </cols>
  <sheetData>
    <row r="1" spans="1:37" ht="22" customHeight="1" x14ac:dyDescent="0.25">
      <c r="A1" s="49" t="s">
        <v>530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</row>
    <row r="2" spans="1:37" x14ac:dyDescent="0.2">
      <c r="A2" s="52" t="s">
        <v>332</v>
      </c>
      <c r="B2" s="91">
        <f>'Plan ventes'!B2</f>
        <v>1</v>
      </c>
      <c r="C2" s="91">
        <f>'Plan ventes'!C2</f>
        <v>1</v>
      </c>
      <c r="D2" s="91">
        <f>'Plan ventes'!D2</f>
        <v>1</v>
      </c>
      <c r="E2" s="91">
        <f>'Plan ventes'!E2</f>
        <v>1</v>
      </c>
      <c r="F2" s="91">
        <f>'Plan ventes'!F2</f>
        <v>1</v>
      </c>
      <c r="G2" s="91">
        <f>'Plan ventes'!G2</f>
        <v>1</v>
      </c>
      <c r="H2" s="91">
        <f>'Plan ventes'!H2</f>
        <v>1</v>
      </c>
      <c r="I2" s="91">
        <f>'Plan ventes'!I2</f>
        <v>1</v>
      </c>
      <c r="J2" s="91">
        <f>'Plan ventes'!J2</f>
        <v>1</v>
      </c>
      <c r="K2" s="91">
        <f>'Plan ventes'!K2</f>
        <v>1</v>
      </c>
      <c r="L2" s="91">
        <f>'Plan ventes'!L2</f>
        <v>1</v>
      </c>
      <c r="M2" s="91">
        <f>'Plan ventes'!M2</f>
        <v>1</v>
      </c>
      <c r="N2" s="91">
        <f>'Plan ventes'!N2</f>
        <v>2</v>
      </c>
      <c r="O2" s="91">
        <f>'Plan ventes'!O2</f>
        <v>2</v>
      </c>
      <c r="P2" s="91">
        <f>'Plan ventes'!P2</f>
        <v>2</v>
      </c>
      <c r="Q2" s="91">
        <f>'Plan ventes'!Q2</f>
        <v>2</v>
      </c>
      <c r="R2" s="91">
        <f>'Plan ventes'!R2</f>
        <v>2</v>
      </c>
      <c r="S2" s="91">
        <f>'Plan ventes'!S2</f>
        <v>2</v>
      </c>
      <c r="T2" s="91">
        <f>'Plan ventes'!T2</f>
        <v>2</v>
      </c>
      <c r="U2" s="91">
        <f>'Plan ventes'!U2</f>
        <v>2</v>
      </c>
      <c r="V2" s="91">
        <f>'Plan ventes'!V2</f>
        <v>2</v>
      </c>
      <c r="W2" s="91">
        <f>'Plan ventes'!W2</f>
        <v>2</v>
      </c>
      <c r="X2" s="91">
        <f>'Plan ventes'!X2</f>
        <v>2</v>
      </c>
      <c r="Y2" s="91">
        <f>'Plan ventes'!Y2</f>
        <v>2</v>
      </c>
      <c r="Z2" s="91">
        <f>'Plan ventes'!Z2</f>
        <v>3</v>
      </c>
      <c r="AA2" s="91">
        <f>'Plan ventes'!AA2</f>
        <v>3</v>
      </c>
      <c r="AB2" s="91">
        <f>'Plan ventes'!AB2</f>
        <v>3</v>
      </c>
      <c r="AC2" s="91">
        <f>'Plan ventes'!AC2</f>
        <v>3</v>
      </c>
      <c r="AD2" s="91">
        <f>'Plan ventes'!AD2</f>
        <v>3</v>
      </c>
      <c r="AE2" s="91">
        <f>'Plan ventes'!AE2</f>
        <v>3</v>
      </c>
      <c r="AF2" s="91">
        <f>'Plan ventes'!AF2</f>
        <v>3</v>
      </c>
      <c r="AG2" s="91">
        <f>'Plan ventes'!AG2</f>
        <v>3</v>
      </c>
      <c r="AH2" s="91">
        <f>'Plan ventes'!AH2</f>
        <v>3</v>
      </c>
      <c r="AI2" s="91">
        <f>'Plan ventes'!AI2</f>
        <v>3</v>
      </c>
      <c r="AJ2" s="91">
        <f>'Plan ventes'!AJ2</f>
        <v>3</v>
      </c>
      <c r="AK2" s="91">
        <f>'Plan ventes'!AK2</f>
        <v>3</v>
      </c>
    </row>
    <row r="3" spans="1:37" x14ac:dyDescent="0.2">
      <c r="A3" s="52" t="s">
        <v>333</v>
      </c>
      <c r="B3" s="91">
        <f>'Plan ventes'!B3</f>
        <v>1</v>
      </c>
      <c r="C3" s="91">
        <f>'Plan ventes'!C3</f>
        <v>2</v>
      </c>
      <c r="D3" s="91">
        <f>'Plan ventes'!D3</f>
        <v>3</v>
      </c>
      <c r="E3" s="91">
        <f>'Plan ventes'!E3</f>
        <v>4</v>
      </c>
      <c r="F3" s="91">
        <f>'Plan ventes'!F3</f>
        <v>5</v>
      </c>
      <c r="G3" s="91">
        <f>'Plan ventes'!G3</f>
        <v>6</v>
      </c>
      <c r="H3" s="91">
        <f>'Plan ventes'!H3</f>
        <v>7</v>
      </c>
      <c r="I3" s="91">
        <f>'Plan ventes'!I3</f>
        <v>8</v>
      </c>
      <c r="J3" s="91">
        <f>'Plan ventes'!J3</f>
        <v>9</v>
      </c>
      <c r="K3" s="91">
        <f>'Plan ventes'!K3</f>
        <v>10</v>
      </c>
      <c r="L3" s="91">
        <f>'Plan ventes'!L3</f>
        <v>11</v>
      </c>
      <c r="M3" s="91">
        <f>'Plan ventes'!M3</f>
        <v>12</v>
      </c>
      <c r="N3" s="91">
        <f>'Plan ventes'!N3</f>
        <v>13</v>
      </c>
      <c r="O3" s="91">
        <f>'Plan ventes'!O3</f>
        <v>14</v>
      </c>
      <c r="P3" s="91">
        <f>'Plan ventes'!P3</f>
        <v>15</v>
      </c>
      <c r="Q3" s="91">
        <f>'Plan ventes'!Q3</f>
        <v>16</v>
      </c>
      <c r="R3" s="91">
        <f>'Plan ventes'!R3</f>
        <v>17</v>
      </c>
      <c r="S3" s="91">
        <f>'Plan ventes'!S3</f>
        <v>18</v>
      </c>
      <c r="T3" s="91">
        <f>'Plan ventes'!T3</f>
        <v>19</v>
      </c>
      <c r="U3" s="91">
        <f>'Plan ventes'!U3</f>
        <v>20</v>
      </c>
      <c r="V3" s="91">
        <f>'Plan ventes'!V3</f>
        <v>21</v>
      </c>
      <c r="W3" s="91">
        <f>'Plan ventes'!W3</f>
        <v>22</v>
      </c>
      <c r="X3" s="91">
        <f>'Plan ventes'!X3</f>
        <v>23</v>
      </c>
      <c r="Y3" s="91">
        <f>'Plan ventes'!Y3</f>
        <v>24</v>
      </c>
      <c r="Z3" s="91">
        <f>'Plan ventes'!Z3</f>
        <v>25</v>
      </c>
      <c r="AA3" s="91">
        <f>'Plan ventes'!AA3</f>
        <v>26</v>
      </c>
      <c r="AB3" s="91">
        <f>'Plan ventes'!AB3</f>
        <v>27</v>
      </c>
      <c r="AC3" s="91">
        <f>'Plan ventes'!AC3</f>
        <v>28</v>
      </c>
      <c r="AD3" s="91">
        <f>'Plan ventes'!AD3</f>
        <v>29</v>
      </c>
      <c r="AE3" s="91">
        <f>'Plan ventes'!AE3</f>
        <v>30</v>
      </c>
      <c r="AF3" s="91">
        <f>'Plan ventes'!AF3</f>
        <v>31</v>
      </c>
      <c r="AG3" s="91">
        <f>'Plan ventes'!AG3</f>
        <v>32</v>
      </c>
      <c r="AH3" s="91">
        <f>'Plan ventes'!AH3</f>
        <v>33</v>
      </c>
      <c r="AI3" s="91">
        <f>'Plan ventes'!AI3</f>
        <v>34</v>
      </c>
      <c r="AJ3" s="91">
        <f>'Plan ventes'!AJ3</f>
        <v>35</v>
      </c>
      <c r="AK3" s="91">
        <f>'Plan ventes'!AK3</f>
        <v>36</v>
      </c>
    </row>
    <row r="4" spans="1:37" x14ac:dyDescent="0.2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</row>
    <row r="5" spans="1:37" ht="18" customHeight="1" x14ac:dyDescent="0.2">
      <c r="A5" s="40" t="s">
        <v>531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</row>
    <row r="6" spans="1:37" x14ac:dyDescent="0.2">
      <c r="A6" s="39" t="s">
        <v>532</v>
      </c>
      <c r="B6" s="58">
        <f>'Plan ventes'!B60</f>
        <v>2970000</v>
      </c>
      <c r="C6" s="58">
        <f>'Plan ventes'!C60</f>
        <v>3028350</v>
      </c>
      <c r="D6" s="58">
        <f>'Plan ventes'!D60</f>
        <v>3087849.9</v>
      </c>
      <c r="E6" s="58">
        <f>'Plan ventes'!E60</f>
        <v>3148522.4172000005</v>
      </c>
      <c r="F6" s="58">
        <f>'Plan ventes'!F60</f>
        <v>3210390.7184946006</v>
      </c>
      <c r="G6" s="58">
        <f>'Plan ventes'!G60</f>
        <v>3273478.4293892784</v>
      </c>
      <c r="H6" s="58">
        <f>'Plan ventes'!H60</f>
        <v>3337809.643093687</v>
      </c>
      <c r="I6" s="58">
        <f>'Plan ventes'!I60</f>
        <v>3403408.9297954906</v>
      </c>
      <c r="J6" s="58">
        <f>'Plan ventes'!J60</f>
        <v>3470301.346118323</v>
      </c>
      <c r="K6" s="58">
        <f>'Plan ventes'!K60</f>
        <v>3538512.4447675408</v>
      </c>
      <c r="L6" s="58">
        <f>'Plan ventes'!L60</f>
        <v>3608068.2843674812</v>
      </c>
      <c r="M6" s="58">
        <f>'Plan ventes'!M60</f>
        <v>3678995.4394940599</v>
      </c>
      <c r="N6" s="58">
        <f>'Plan ventes'!N60</f>
        <v>4050968.7052322244</v>
      </c>
      <c r="O6" s="58">
        <f>'Plan ventes'!O60</f>
        <v>4139496.2049496495</v>
      </c>
      <c r="P6" s="58">
        <f>'Plan ventes'!P60</f>
        <v>4229971.1550351083</v>
      </c>
      <c r="Q6" s="58">
        <f>'Plan ventes'!Q60</f>
        <v>4322436.58047581</v>
      </c>
      <c r="R6" s="58">
        <f>'Plan ventes'!R60</f>
        <v>4416936.4595039627</v>
      </c>
      <c r="S6" s="58">
        <f>'Plan ventes'!S60</f>
        <v>4513515.7447568048</v>
      </c>
      <c r="T6" s="58">
        <f>'Plan ventes'!T60</f>
        <v>4612220.38490697</v>
      </c>
      <c r="U6" s="58">
        <f>'Plan ventes'!U60</f>
        <v>4713097.346773643</v>
      </c>
      <c r="V6" s="58">
        <f>'Plan ventes'!V60</f>
        <v>4816194.6379252085</v>
      </c>
      <c r="W6" s="58">
        <f>'Plan ventes'!W60</f>
        <v>4921561.3297843318</v>
      </c>
      <c r="X6" s="58">
        <f>'Plan ventes'!X60</f>
        <v>5029247.5812466349</v>
      </c>
      <c r="Y6" s="58">
        <f>'Plan ventes'!Y60</f>
        <v>5139304.6628244137</v>
      </c>
      <c r="Z6" s="58">
        <f>'Plan ventes'!Z60</f>
        <v>5671495.7756192666</v>
      </c>
      <c r="AA6" s="58">
        <f>'Plan ventes'!AA60</f>
        <v>5808025.8436288787</v>
      </c>
      <c r="AB6" s="58">
        <f>'Plan ventes'!AB60</f>
        <v>5947870.8979233708</v>
      </c>
      <c r="AC6" s="58">
        <f>'Plan ventes'!AC60</f>
        <v>6091111.7798558734</v>
      </c>
      <c r="AD6" s="58">
        <f>'Plan ventes'!AD60</f>
        <v>6237831.3065846134</v>
      </c>
      <c r="AE6" s="58">
        <f>'Plan ventes'!AE60</f>
        <v>6388114.3194162166</v>
      </c>
      <c r="AF6" s="58">
        <f>'Plan ventes'!AF60</f>
        <v>6542047.7333325278</v>
      </c>
      <c r="AG6" s="58">
        <f>'Plan ventes'!AG60</f>
        <v>6699720.5877299085</v>
      </c>
      <c r="AH6" s="58">
        <f>'Plan ventes'!AH60</f>
        <v>6861224.0984007148</v>
      </c>
      <c r="AI6" s="58">
        <f>'Plan ventes'!AI60</f>
        <v>7026651.7107873773</v>
      </c>
      <c r="AJ6" s="58">
        <f>'Plan ventes'!AJ60</f>
        <v>7196099.1545402333</v>
      </c>
      <c r="AK6" s="58">
        <f>'Plan ventes'!AK60</f>
        <v>7369664.499411054</v>
      </c>
    </row>
    <row r="7" spans="1:37" x14ac:dyDescent="0.2">
      <c r="A7" s="39" t="s">
        <v>533</v>
      </c>
      <c r="B7" s="58">
        <f>'P&amp;L'!B5</f>
        <v>1394700</v>
      </c>
      <c r="C7" s="58">
        <f>'P&amp;L'!C5</f>
        <v>1455388.425</v>
      </c>
      <c r="D7" s="58">
        <f>'P&amp;L'!D5</f>
        <v>1518457.15215</v>
      </c>
      <c r="E7" s="58">
        <f>'P&amp;L'!E5</f>
        <v>1584033.8286087003</v>
      </c>
      <c r="F7" s="58">
        <f>'P&amp;L'!F5</f>
        <v>1652252.0104707067</v>
      </c>
      <c r="G7" s="58">
        <f>'P&amp;L'!G5</f>
        <v>1723251.4682179105</v>
      </c>
      <c r="H7" s="58">
        <f>'P&amp;L'!H5</f>
        <v>1856302.0340722492</v>
      </c>
      <c r="I7" s="58">
        <f>'P&amp;L'!I5</f>
        <v>1934492.3004762842</v>
      </c>
      <c r="J7" s="58">
        <f>'P&amp;L'!J5</f>
        <v>2015947.3723734012</v>
      </c>
      <c r="K7" s="58">
        <f>'P&amp;L'!K5</f>
        <v>2100835.7146387212</v>
      </c>
      <c r="L7" s="58">
        <f>'P&amp;L'!L5</f>
        <v>2189333.7822610531</v>
      </c>
      <c r="M7" s="58">
        <f>'P&amp;L'!M5</f>
        <v>2281626.4274155251</v>
      </c>
      <c r="N7" s="58">
        <f>'P&amp;L'!N5</f>
        <v>2550347.5759644657</v>
      </c>
      <c r="O7" s="58">
        <f>'P&amp;L'!O5</f>
        <v>2649509.1128086625</v>
      </c>
      <c r="P7" s="58">
        <f>'P&amp;L'!P5</f>
        <v>2752514.0529363444</v>
      </c>
      <c r="Q7" s="58">
        <f>'P&amp;L'!Q5</f>
        <v>2859537.0597735019</v>
      </c>
      <c r="R7" s="58">
        <f>'P&amp;L'!R5</f>
        <v>2970760.1980828652</v>
      </c>
      <c r="S7" s="58">
        <f>'P&amp;L'!S5</f>
        <v>3086373.2700976366</v>
      </c>
      <c r="T7" s="58">
        <f>'P&amp;L'!T5</f>
        <v>3206574.166375909</v>
      </c>
      <c r="U7" s="58">
        <f>'P&amp;L'!U5</f>
        <v>3331569.2320399843</v>
      </c>
      <c r="V7" s="58">
        <f>'P&amp;L'!V5</f>
        <v>3461573.6490942491</v>
      </c>
      <c r="W7" s="58">
        <f>'P&amp;L'!W5</f>
        <v>3596811.8355460106</v>
      </c>
      <c r="X7" s="58">
        <f>'P&amp;L'!X5</f>
        <v>3737517.8620859114</v>
      </c>
      <c r="Y7" s="58">
        <f>'P&amp;L'!Y5</f>
        <v>3883935.8871180704</v>
      </c>
      <c r="Z7" s="58">
        <f>'P&amp;L'!Z5</f>
        <v>4323137.5828078501</v>
      </c>
      <c r="AA7" s="58">
        <f>'P&amp;L'!AA5</f>
        <v>4482164.7560903095</v>
      </c>
      <c r="AB7" s="58">
        <f>'P&amp;L'!AB5</f>
        <v>4645654.4033664605</v>
      </c>
      <c r="AC7" s="58">
        <f>'P&amp;L'!AC5</f>
        <v>4813798.6996990116</v>
      </c>
      <c r="AD7" s="58">
        <f>'P&amp;L'!AD5</f>
        <v>4986795.7152400799</v>
      </c>
      <c r="AE7" s="58">
        <f>'P&amp;L'!AE5</f>
        <v>5164849.6590295993</v>
      </c>
      <c r="AF7" s="58">
        <f>'P&amp;L'!AF5</f>
        <v>5348171.1307455627</v>
      </c>
      <c r="AG7" s="58">
        <f>'P&amp;L'!AG5</f>
        <v>5536977.3807238294</v>
      </c>
      <c r="AH7" s="58">
        <f>'P&amp;L'!AH5</f>
        <v>5731492.5785759585</v>
      </c>
      <c r="AI7" s="58">
        <f>'P&amp;L'!AI5</f>
        <v>5931948.0907447897</v>
      </c>
      <c r="AJ7" s="58">
        <f>'P&amp;L'!AJ5</f>
        <v>6138582.76734915</v>
      </c>
      <c r="AK7" s="58">
        <f>'P&amp;L'!AK5</f>
        <v>6351643.2386810975</v>
      </c>
    </row>
    <row r="8" spans="1:37" x14ac:dyDescent="0.2">
      <c r="A8" s="39" t="s">
        <v>534</v>
      </c>
      <c r="B8" s="42">
        <f>IF('Plan ventes'!B60=0,0,'Plan ventes'!B62/'Plan ventes'!B60)</f>
        <v>0.12616161616161617</v>
      </c>
      <c r="C8" s="42">
        <f>IF('Plan ventes'!C60=0,0,'Plan ventes'!C62/'Plan ventes'!C60)</f>
        <v>0.12613747585318738</v>
      </c>
      <c r="D8" s="42">
        <f>IF('Plan ventes'!D60=0,0,'Plan ventes'!D62/'Plan ventes'!D60)</f>
        <v>0.12611336844773446</v>
      </c>
      <c r="E8" s="42">
        <f>IF('Plan ventes'!E60=0,0,'Plan ventes'!E62/'Plan ventes'!E60)</f>
        <v>0.12608929396213414</v>
      </c>
      <c r="F8" s="42">
        <f>IF('Plan ventes'!F60=0,0,'Plan ventes'!F62/'Plan ventes'!F60)</f>
        <v>0.12606525241279207</v>
      </c>
      <c r="G8" s="42">
        <f>IF('Plan ventes'!G60=0,0,'Plan ventes'!G62/'Plan ventes'!G60)</f>
        <v>0.12604124381564544</v>
      </c>
      <c r="H8" s="42">
        <f>IF('Plan ventes'!H60=0,0,'Plan ventes'!H62/'Plan ventes'!H60)</f>
        <v>0.1437305392631113</v>
      </c>
      <c r="I8" s="42">
        <f>IF('Plan ventes'!I60=0,0,'Plan ventes'!I62/'Plan ventes'!I60)</f>
        <v>0.14371261781236436</v>
      </c>
      <c r="J8" s="42">
        <f>IF('Plan ventes'!J60=0,0,'Plan ventes'!J62/'Plan ventes'!J60)</f>
        <v>0.14369471158245736</v>
      </c>
      <c r="K8" s="42">
        <f>IF('Plan ventes'!K60=0,0,'Plan ventes'!K62/'Plan ventes'!K60)</f>
        <v>0.14367682063940468</v>
      </c>
      <c r="L8" s="42">
        <f>IF('Plan ventes'!L60=0,0,'Plan ventes'!L62/'Plan ventes'!L60)</f>
        <v>0.14365894504866963</v>
      </c>
      <c r="M8" s="42">
        <f>IF('Plan ventes'!M60=0,0,'Plan ventes'!M62/'Plan ventes'!M60)</f>
        <v>0.14364108487516677</v>
      </c>
      <c r="N8" s="42">
        <f>IF('Plan ventes'!N60=0,0,'Plan ventes'!N62/'Plan ventes'!N60)</f>
        <v>0.14362478037307649</v>
      </c>
      <c r="O8" s="42">
        <f>IF('Plan ventes'!O60=0,0,'Plan ventes'!O62/'Plan ventes'!O60)</f>
        <v>0.14360658503551119</v>
      </c>
      <c r="P8" s="42">
        <f>IF('Plan ventes'!P60=0,0,'Plan ventes'!P62/'Plan ventes'!P60)</f>
        <v>0.14358838170152602</v>
      </c>
      <c r="Q8" s="42">
        <f>IF('Plan ventes'!Q60=0,0,'Plan ventes'!Q62/'Plan ventes'!Q60)</f>
        <v>0.14357017077647427</v>
      </c>
      <c r="R8" s="42">
        <f>IF('Plan ventes'!R60=0,0,'Plan ventes'!R62/'Plan ventes'!R60)</f>
        <v>0.14355195266194007</v>
      </c>
      <c r="S8" s="42">
        <f>IF('Plan ventes'!S60=0,0,'Plan ventes'!S62/'Plan ventes'!S60)</f>
        <v>0.14353372775576073</v>
      </c>
      <c r="T8" s="42">
        <f>IF('Plan ventes'!T60=0,0,'Plan ventes'!T62/'Plan ventes'!T60)</f>
        <v>0.1435154964520492</v>
      </c>
      <c r="U8" s="42">
        <f>IF('Plan ventes'!U60=0,0,'Plan ventes'!U62/'Plan ventes'!U60)</f>
        <v>0.14349725914121625</v>
      </c>
      <c r="V8" s="42">
        <f>IF('Plan ventes'!V60=0,0,'Plan ventes'!V62/'Plan ventes'!V60)</f>
        <v>0.14347901620999329</v>
      </c>
      <c r="W8" s="42">
        <f>IF('Plan ventes'!W60=0,0,'Plan ventes'!W62/'Plan ventes'!W60)</f>
        <v>0.14346076804145444</v>
      </c>
      <c r="X8" s="42">
        <f>IF('Plan ventes'!X60=0,0,'Plan ventes'!X62/'Plan ventes'!X60)</f>
        <v>0.1434425150150391</v>
      </c>
      <c r="Y8" s="42">
        <f>IF('Plan ventes'!Y60=0,0,'Plan ventes'!Y62/'Plan ventes'!Y60)</f>
        <v>0.1434242575065747</v>
      </c>
      <c r="Z8" s="42">
        <f>IF('Plan ventes'!Z60=0,0,'Plan ventes'!Z62/'Plan ventes'!Z60)</f>
        <v>0.143407017038088</v>
      </c>
      <c r="AA8" s="42">
        <f>IF('Plan ventes'!AA60=0,0,'Plan ventes'!AA62/'Plan ventes'!AA60)</f>
        <v>0.14341254011191901</v>
      </c>
      <c r="AB8" s="42">
        <f>IF('Plan ventes'!AB60=0,0,'Plan ventes'!AB62/'Plan ventes'!AB60)</f>
        <v>0.14341800163054294</v>
      </c>
      <c r="AC8" s="42">
        <f>IF('Plan ventes'!AC60=0,0,'Plan ventes'!AC62/'Plan ventes'!AC60)</f>
        <v>0.14342340222890293</v>
      </c>
      <c r="AD8" s="42">
        <f>IF('Plan ventes'!AD60=0,0,'Plan ventes'!AD62/'Plan ventes'!AD60)</f>
        <v>0.14342874253656945</v>
      </c>
      <c r="AE8" s="42">
        <f>IF('Plan ventes'!AE60=0,0,'Plan ventes'!AE62/'Plan ventes'!AE60)</f>
        <v>0.14343402317775816</v>
      </c>
      <c r="AF8" s="42">
        <f>IF('Plan ventes'!AF60=0,0,'Plan ventes'!AF62/'Plan ventes'!AF60)</f>
        <v>0.14343924477134773</v>
      </c>
      <c r="AG8" s="42">
        <f>IF('Plan ventes'!AG60=0,0,'Plan ventes'!AG62/'Plan ventes'!AG60)</f>
        <v>0.14344440793089916</v>
      </c>
      <c r="AH8" s="42">
        <f>IF('Plan ventes'!AH60=0,0,'Plan ventes'!AH62/'Plan ventes'!AH60)</f>
        <v>0.14344951326467509</v>
      </c>
      <c r="AI8" s="42">
        <f>IF('Plan ventes'!AI60=0,0,'Plan ventes'!AI62/'Plan ventes'!AI60)</f>
        <v>0.14345456137566007</v>
      </c>
      <c r="AJ8" s="42">
        <f>IF('Plan ventes'!AJ60=0,0,'Plan ventes'!AJ62/'Plan ventes'!AJ60)</f>
        <v>0.14345955286158155</v>
      </c>
      <c r="AK8" s="42">
        <f>IF('Plan ventes'!AK60=0,0,'Plan ventes'!AK62/'Plan ventes'!AK60)</f>
        <v>0.14346448831493108</v>
      </c>
    </row>
    <row r="9" spans="1:37" x14ac:dyDescent="0.2">
      <c r="A9" s="39" t="s">
        <v>535</v>
      </c>
      <c r="B9" s="58">
        <f>'Plan ventes'!B61</f>
        <v>1020000</v>
      </c>
      <c r="C9" s="58">
        <f>'Plan ventes'!C61</f>
        <v>1073400</v>
      </c>
      <c r="D9" s="58">
        <f>'Plan ventes'!D61</f>
        <v>1129038</v>
      </c>
      <c r="E9" s="58">
        <f>'Plan ventes'!E61</f>
        <v>1187038.8600000003</v>
      </c>
      <c r="F9" s="58">
        <f>'Plan ventes'!F61</f>
        <v>1247533.2942000001</v>
      </c>
      <c r="G9" s="58">
        <f>'Plan ventes'!G61</f>
        <v>1310658.1753740003</v>
      </c>
      <c r="H9" s="58">
        <f>'Plan ventes'!H61</f>
        <v>1376556.8541127804</v>
      </c>
      <c r="I9" s="58">
        <f>'Plan ventes'!I61</f>
        <v>1445379.4936893969</v>
      </c>
      <c r="J9" s="58">
        <f>'Plan ventes'!J61</f>
        <v>1517283.4213387151</v>
      </c>
      <c r="K9" s="58">
        <f>'Plan ventes'!K61</f>
        <v>1592433.4967815536</v>
      </c>
      <c r="L9" s="58">
        <f>'Plan ventes'!L61</f>
        <v>1671002.4988652573</v>
      </c>
      <c r="M9" s="58">
        <f>'Plan ventes'!M61</f>
        <v>1753171.5312358073</v>
      </c>
      <c r="N9" s="58">
        <f>'Plan ventes'!N61</f>
        <v>1968528.0853772813</v>
      </c>
      <c r="O9" s="58">
        <f>'Plan ventes'!O61</f>
        <v>2055050.199048385</v>
      </c>
      <c r="P9" s="58">
        <f>'Plan ventes'!P61</f>
        <v>2145139.3401407185</v>
      </c>
      <c r="Q9" s="58">
        <f>'Plan ventes'!Q61</f>
        <v>2238964.1017441107</v>
      </c>
      <c r="R9" s="58">
        <f>'Plan ventes'!R61</f>
        <v>2336700.3445373555</v>
      </c>
      <c r="S9" s="58">
        <f>'Plan ventes'!S61</f>
        <v>2438531.5299683735</v>
      </c>
      <c r="T9" s="58">
        <f>'Plan ventes'!T61</f>
        <v>2544649.0680897236</v>
      </c>
      <c r="U9" s="58">
        <f>'Plan ventes'!U61</f>
        <v>2655252.6807122282</v>
      </c>
      <c r="V9" s="58">
        <f>'Plan ventes'!V61</f>
        <v>2770550.7805688954</v>
      </c>
      <c r="W9" s="58">
        <f>'Plan ventes'!W61</f>
        <v>2890760.8672120287</v>
      </c>
      <c r="X9" s="58">
        <f>'Plan ventes'!X61</f>
        <v>3016109.940398592</v>
      </c>
      <c r="Y9" s="58">
        <f>'Plan ventes'!Y61</f>
        <v>3146834.9317524019</v>
      </c>
      <c r="Z9" s="58">
        <f>'Plan ventes'!Z61</f>
        <v>3509805.2914821743</v>
      </c>
      <c r="AA9" s="58">
        <f>'Plan ventes'!AA61</f>
        <v>3649221.0168198212</v>
      </c>
      <c r="AB9" s="58">
        <f>'Plan ventes'!AB61</f>
        <v>3792622.6452298276</v>
      </c>
      <c r="AC9" s="58">
        <f>'Plan ventes'!AC61</f>
        <v>3940190.7248755335</v>
      </c>
      <c r="AD9" s="58">
        <f>'Plan ventes'!AD61</f>
        <v>4092111.4147814028</v>
      </c>
      <c r="AE9" s="58">
        <f>'Plan ventes'!AE61</f>
        <v>4248576.7216762844</v>
      </c>
      <c r="AF9" s="58">
        <f>'Plan ventes'!AF61</f>
        <v>4409784.7446182379</v>
      </c>
      <c r="AG9" s="58">
        <f>'Plan ventes'!AG61</f>
        <v>4575939.9277144568</v>
      </c>
      <c r="AH9" s="58">
        <f>'Plan ventes'!AH61</f>
        <v>4747253.3212605165</v>
      </c>
      <c r="AI9" s="58">
        <f>'Plan ventes'!AI61</f>
        <v>4923942.8516342547</v>
      </c>
      <c r="AJ9" s="58">
        <f>'Plan ventes'!AJ61</f>
        <v>5106233.6002912028</v>
      </c>
      <c r="AK9" s="58">
        <f>'Plan ventes'!AK61</f>
        <v>5294358.0922203781</v>
      </c>
    </row>
    <row r="10" spans="1:37" x14ac:dyDescent="0.2">
      <c r="A10" s="39" t="s">
        <v>536</v>
      </c>
      <c r="B10" s="66">
        <f t="shared" ref="B10:AK10" si="0">B9*12</f>
        <v>12240000</v>
      </c>
      <c r="C10" s="66">
        <f t="shared" si="0"/>
        <v>12880800</v>
      </c>
      <c r="D10" s="66">
        <f t="shared" si="0"/>
        <v>13548456</v>
      </c>
      <c r="E10" s="66">
        <f t="shared" si="0"/>
        <v>14244466.320000004</v>
      </c>
      <c r="F10" s="66">
        <f t="shared" si="0"/>
        <v>14970399.530400001</v>
      </c>
      <c r="G10" s="66">
        <f t="shared" si="0"/>
        <v>15727898.104488004</v>
      </c>
      <c r="H10" s="66">
        <f t="shared" si="0"/>
        <v>16518682.249353364</v>
      </c>
      <c r="I10" s="66">
        <f t="shared" si="0"/>
        <v>17344553.924272761</v>
      </c>
      <c r="J10" s="66">
        <f t="shared" si="0"/>
        <v>18207401.056064583</v>
      </c>
      <c r="K10" s="66">
        <f t="shared" si="0"/>
        <v>19109201.961378641</v>
      </c>
      <c r="L10" s="66">
        <f t="shared" si="0"/>
        <v>20052029.986383088</v>
      </c>
      <c r="M10" s="66">
        <f t="shared" si="0"/>
        <v>21038058.374829687</v>
      </c>
      <c r="N10" s="66">
        <f t="shared" si="0"/>
        <v>23622337.024527375</v>
      </c>
      <c r="O10" s="66">
        <f t="shared" si="0"/>
        <v>24660602.38858062</v>
      </c>
      <c r="P10" s="66">
        <f t="shared" si="0"/>
        <v>25741672.08168862</v>
      </c>
      <c r="Q10" s="66">
        <f t="shared" si="0"/>
        <v>26867569.220929328</v>
      </c>
      <c r="R10" s="66">
        <f t="shared" si="0"/>
        <v>28040404.134448268</v>
      </c>
      <c r="S10" s="66">
        <f t="shared" si="0"/>
        <v>29262378.359620482</v>
      </c>
      <c r="T10" s="66">
        <f t="shared" si="0"/>
        <v>30535788.817076683</v>
      </c>
      <c r="U10" s="66">
        <f t="shared" si="0"/>
        <v>31863032.168546736</v>
      </c>
      <c r="V10" s="66">
        <f t="shared" si="0"/>
        <v>33246609.366826743</v>
      </c>
      <c r="W10" s="66">
        <f t="shared" si="0"/>
        <v>34689130.406544343</v>
      </c>
      <c r="X10" s="66">
        <f t="shared" si="0"/>
        <v>36193319.284783103</v>
      </c>
      <c r="Y10" s="66">
        <f t="shared" si="0"/>
        <v>37762019.181028821</v>
      </c>
      <c r="Z10" s="66">
        <f t="shared" si="0"/>
        <v>42117663.49778609</v>
      </c>
      <c r="AA10" s="66">
        <f t="shared" si="0"/>
        <v>43790652.201837853</v>
      </c>
      <c r="AB10" s="66">
        <f t="shared" si="0"/>
        <v>45511471.742757931</v>
      </c>
      <c r="AC10" s="66">
        <f t="shared" si="0"/>
        <v>47282288.6985064</v>
      </c>
      <c r="AD10" s="66">
        <f t="shared" si="0"/>
        <v>49105336.977376834</v>
      </c>
      <c r="AE10" s="66">
        <f t="shared" si="0"/>
        <v>50982920.660115413</v>
      </c>
      <c r="AF10" s="66">
        <f t="shared" si="0"/>
        <v>52917416.935418859</v>
      </c>
      <c r="AG10" s="66">
        <f t="shared" si="0"/>
        <v>54911279.132573485</v>
      </c>
      <c r="AH10" s="66">
        <f t="shared" si="0"/>
        <v>56967039.855126202</v>
      </c>
      <c r="AI10" s="66">
        <f t="shared" si="0"/>
        <v>59087314.219611056</v>
      </c>
      <c r="AJ10" s="66">
        <f t="shared" si="0"/>
        <v>61274803.20349443</v>
      </c>
      <c r="AK10" s="66">
        <f t="shared" si="0"/>
        <v>63532297.106644541</v>
      </c>
    </row>
    <row r="11" spans="1:37" x14ac:dyDescent="0.2">
      <c r="A11" s="39" t="s">
        <v>537</v>
      </c>
      <c r="B11" s="60">
        <f>0</f>
        <v>0</v>
      </c>
      <c r="C11" s="60">
        <f t="shared" ref="C11:AK11" si="1">IF(B7=0,0,C7/B7-1)</f>
        <v>4.3513605076360484E-2</v>
      </c>
      <c r="D11" s="60">
        <f t="shared" si="1"/>
        <v>4.3334635666076426E-2</v>
      </c>
      <c r="E11" s="60">
        <f t="shared" si="1"/>
        <v>4.3186385842926001E-2</v>
      </c>
      <c r="F11" s="60">
        <f t="shared" si="1"/>
        <v>4.3066114264696198E-2</v>
      </c>
      <c r="G11" s="60">
        <f t="shared" si="1"/>
        <v>4.2971324772046682E-2</v>
      </c>
      <c r="H11" s="60">
        <f t="shared" si="1"/>
        <v>7.7209025094829631E-2</v>
      </c>
      <c r="I11" s="60">
        <f t="shared" si="1"/>
        <v>4.2121521696825148E-2</v>
      </c>
      <c r="J11" s="60">
        <f t="shared" si="1"/>
        <v>4.2106692219484154E-2</v>
      </c>
      <c r="K11" s="60">
        <f t="shared" si="1"/>
        <v>4.2108411870583673E-2</v>
      </c>
      <c r="L11" s="60">
        <f t="shared" si="1"/>
        <v>4.2125172856531945E-2</v>
      </c>
      <c r="M11" s="60">
        <f t="shared" si="1"/>
        <v>4.2155584453255956E-2</v>
      </c>
      <c r="N11" s="60">
        <f t="shared" si="1"/>
        <v>0.11777613781118856</v>
      </c>
      <c r="O11" s="60">
        <f t="shared" si="1"/>
        <v>3.8881577467611228E-2</v>
      </c>
      <c r="P11" s="60">
        <f t="shared" si="1"/>
        <v>3.8876990318591265E-2</v>
      </c>
      <c r="Q11" s="60">
        <f t="shared" si="1"/>
        <v>3.8881911147006454E-2</v>
      </c>
      <c r="R11" s="60">
        <f t="shared" si="1"/>
        <v>3.8895505106051331E-2</v>
      </c>
      <c r="S11" s="60">
        <f t="shared" si="1"/>
        <v>3.891699912008395E-2</v>
      </c>
      <c r="T11" s="60">
        <f t="shared" si="1"/>
        <v>3.8945676935074669E-2</v>
      </c>
      <c r="U11" s="60">
        <f t="shared" si="1"/>
        <v>3.8980874658933962E-2</v>
      </c>
      <c r="V11" s="60">
        <f t="shared" si="1"/>
        <v>3.9021976732166008E-2</v>
      </c>
      <c r="W11" s="60">
        <f t="shared" si="1"/>
        <v>3.9068412277504905E-2</v>
      </c>
      <c r="X11" s="60">
        <f t="shared" si="1"/>
        <v>3.9119651784214282E-2</v>
      </c>
      <c r="Y11" s="60">
        <f t="shared" si="1"/>
        <v>3.9175204088641502E-2</v>
      </c>
      <c r="Z11" s="60">
        <f t="shared" si="1"/>
        <v>0.11308160290351066</v>
      </c>
      <c r="AA11" s="60">
        <f t="shared" si="1"/>
        <v>3.6785128910741705E-2</v>
      </c>
      <c r="AB11" s="60">
        <f t="shared" si="1"/>
        <v>3.6475599665095615E-2</v>
      </c>
      <c r="AC11" s="60">
        <f t="shared" si="1"/>
        <v>3.6193888251934148E-2</v>
      </c>
      <c r="AD11" s="60">
        <f t="shared" si="1"/>
        <v>3.5937733655519333E-2</v>
      </c>
      <c r="AE11" s="60">
        <f t="shared" si="1"/>
        <v>3.5705080768672959E-2</v>
      </c>
      <c r="AF11" s="60">
        <f t="shared" si="1"/>
        <v>3.5494057681904945E-2</v>
      </c>
      <c r="AG11" s="60">
        <f t="shared" si="1"/>
        <v>3.5302955975521799E-2</v>
      </c>
      <c r="AH11" s="60">
        <f t="shared" si="1"/>
        <v>3.5130213558268286E-2</v>
      </c>
      <c r="AI11" s="60">
        <f t="shared" si="1"/>
        <v>3.4974399673502798E-2</v>
      </c>
      <c r="AJ11" s="60">
        <f t="shared" si="1"/>
        <v>3.483420175688301E-2</v>
      </c>
      <c r="AK11" s="60">
        <f t="shared" si="1"/>
        <v>3.4708413881002986E-2</v>
      </c>
    </row>
    <row r="12" spans="1:37" x14ac:dyDescent="0.2">
      <c r="A12" s="39" t="s">
        <v>538</v>
      </c>
      <c r="B12" s="58">
        <f>'Plan ventes'!B6</f>
        <v>400000</v>
      </c>
      <c r="C12" s="58">
        <f>'Plan ventes'!C6</f>
        <v>400000</v>
      </c>
      <c r="D12" s="58">
        <f>'Plan ventes'!D6</f>
        <v>400000</v>
      </c>
      <c r="E12" s="58">
        <f>'Plan ventes'!E6</f>
        <v>400000</v>
      </c>
      <c r="F12" s="58">
        <f>'Plan ventes'!F6</f>
        <v>400000</v>
      </c>
      <c r="G12" s="58">
        <f>'Plan ventes'!G6</f>
        <v>400000</v>
      </c>
      <c r="H12" s="58">
        <f>'Plan ventes'!H6</f>
        <v>400000</v>
      </c>
      <c r="I12" s="58">
        <f>'Plan ventes'!I6</f>
        <v>400000</v>
      </c>
      <c r="J12" s="58">
        <f>'Plan ventes'!J6</f>
        <v>400000</v>
      </c>
      <c r="K12" s="58">
        <f>'Plan ventes'!K6</f>
        <v>400000</v>
      </c>
      <c r="L12" s="58">
        <f>'Plan ventes'!L6</f>
        <v>400000</v>
      </c>
      <c r="M12" s="58">
        <f>'Plan ventes'!M6</f>
        <v>400000</v>
      </c>
      <c r="N12" s="58">
        <f>'Plan ventes'!N6</f>
        <v>500000</v>
      </c>
      <c r="O12" s="58">
        <f>'Plan ventes'!O6</f>
        <v>500000</v>
      </c>
      <c r="P12" s="58">
        <f>'Plan ventes'!P6</f>
        <v>500000</v>
      </c>
      <c r="Q12" s="58">
        <f>'Plan ventes'!Q6</f>
        <v>500000</v>
      </c>
      <c r="R12" s="58">
        <f>'Plan ventes'!R6</f>
        <v>500000</v>
      </c>
      <c r="S12" s="58">
        <f>'Plan ventes'!S6</f>
        <v>500000</v>
      </c>
      <c r="T12" s="58">
        <f>'Plan ventes'!T6</f>
        <v>500000</v>
      </c>
      <c r="U12" s="58">
        <f>'Plan ventes'!U6</f>
        <v>500000</v>
      </c>
      <c r="V12" s="58">
        <f>'Plan ventes'!V6</f>
        <v>500000</v>
      </c>
      <c r="W12" s="58">
        <f>'Plan ventes'!W6</f>
        <v>500000</v>
      </c>
      <c r="X12" s="58">
        <f>'Plan ventes'!X6</f>
        <v>500000</v>
      </c>
      <c r="Y12" s="58">
        <f>'Plan ventes'!Y6</f>
        <v>500000</v>
      </c>
      <c r="Z12" s="58">
        <f>'Plan ventes'!Z6</f>
        <v>600000</v>
      </c>
      <c r="AA12" s="58">
        <f>'Plan ventes'!AA6</f>
        <v>600000</v>
      </c>
      <c r="AB12" s="58">
        <f>'Plan ventes'!AB6</f>
        <v>600000</v>
      </c>
      <c r="AC12" s="58">
        <f>'Plan ventes'!AC6</f>
        <v>600000</v>
      </c>
      <c r="AD12" s="58">
        <f>'Plan ventes'!AD6</f>
        <v>600000</v>
      </c>
      <c r="AE12" s="58">
        <f>'Plan ventes'!AE6</f>
        <v>600000</v>
      </c>
      <c r="AF12" s="58">
        <f>'Plan ventes'!AF6</f>
        <v>600000</v>
      </c>
      <c r="AG12" s="58">
        <f>'Plan ventes'!AG6</f>
        <v>600000</v>
      </c>
      <c r="AH12" s="58">
        <f>'Plan ventes'!AH6</f>
        <v>600000</v>
      </c>
      <c r="AI12" s="58">
        <f>'Plan ventes'!AI6</f>
        <v>600000</v>
      </c>
      <c r="AJ12" s="58">
        <f>'Plan ventes'!AJ6</f>
        <v>600000</v>
      </c>
      <c r="AK12" s="58">
        <f>'Plan ventes'!AK6</f>
        <v>600000</v>
      </c>
    </row>
    <row r="13" spans="1:37" x14ac:dyDescent="0.2">
      <c r="A13" s="39" t="s">
        <v>539</v>
      </c>
      <c r="B13" s="44">
        <f>'Plan ventes'!B7</f>
        <v>1</v>
      </c>
      <c r="C13" s="44">
        <f>'Plan ventes'!C7</f>
        <v>1</v>
      </c>
      <c r="D13" s="44">
        <f>'Plan ventes'!D7</f>
        <v>1</v>
      </c>
      <c r="E13" s="44">
        <f>'Plan ventes'!E7</f>
        <v>1</v>
      </c>
      <c r="F13" s="44">
        <f>'Plan ventes'!F7</f>
        <v>1</v>
      </c>
      <c r="G13" s="44">
        <f>'Plan ventes'!G7</f>
        <v>1</v>
      </c>
      <c r="H13" s="44">
        <f>'Plan ventes'!H7</f>
        <v>1</v>
      </c>
      <c r="I13" s="44">
        <f>'Plan ventes'!I7</f>
        <v>1</v>
      </c>
      <c r="J13" s="44">
        <f>'Plan ventes'!J7</f>
        <v>1</v>
      </c>
      <c r="K13" s="44">
        <f>'Plan ventes'!K7</f>
        <v>1</v>
      </c>
      <c r="L13" s="44">
        <f>'Plan ventes'!L7</f>
        <v>1</v>
      </c>
      <c r="M13" s="44">
        <f>'Plan ventes'!M7</f>
        <v>1</v>
      </c>
      <c r="N13" s="44">
        <f>'Plan ventes'!N7</f>
        <v>1</v>
      </c>
      <c r="O13" s="44">
        <f>'Plan ventes'!O7</f>
        <v>1.1180339887498949</v>
      </c>
      <c r="P13" s="44">
        <f>'Plan ventes'!P7</f>
        <v>1.1180339887498949</v>
      </c>
      <c r="Q13" s="44">
        <f>'Plan ventes'!Q7</f>
        <v>1.1180339887498949</v>
      </c>
      <c r="R13" s="44">
        <f>'Plan ventes'!R7</f>
        <v>1.1180339887498949</v>
      </c>
      <c r="S13" s="44">
        <f>'Plan ventes'!S7</f>
        <v>1.1180339887498949</v>
      </c>
      <c r="T13" s="44">
        <f>'Plan ventes'!T7</f>
        <v>1.1180339887498949</v>
      </c>
      <c r="U13" s="44">
        <f>'Plan ventes'!U7</f>
        <v>1.1180339887498949</v>
      </c>
      <c r="V13" s="44">
        <f>'Plan ventes'!V7</f>
        <v>1.1180339887498949</v>
      </c>
      <c r="W13" s="44">
        <f>'Plan ventes'!W7</f>
        <v>1.1180339887498949</v>
      </c>
      <c r="X13" s="44">
        <f>'Plan ventes'!X7</f>
        <v>1.1180339887498949</v>
      </c>
      <c r="Y13" s="44">
        <f>'Plan ventes'!Y7</f>
        <v>1.1180339887498949</v>
      </c>
      <c r="Z13" s="44">
        <f>'Plan ventes'!Z7</f>
        <v>1.1180339887498949</v>
      </c>
      <c r="AA13" s="44">
        <f>'Plan ventes'!AA7</f>
        <v>1.2247448713915889</v>
      </c>
      <c r="AB13" s="44">
        <f>'Plan ventes'!AB7</f>
        <v>1.2247448713915889</v>
      </c>
      <c r="AC13" s="44">
        <f>'Plan ventes'!AC7</f>
        <v>1.2247448713915889</v>
      </c>
      <c r="AD13" s="44">
        <f>'Plan ventes'!AD7</f>
        <v>1.2247448713915889</v>
      </c>
      <c r="AE13" s="44">
        <f>'Plan ventes'!AE7</f>
        <v>1.2247448713915889</v>
      </c>
      <c r="AF13" s="44">
        <f>'Plan ventes'!AF7</f>
        <v>1.2247448713915889</v>
      </c>
      <c r="AG13" s="44">
        <f>'Plan ventes'!AG7</f>
        <v>1.2247448713915889</v>
      </c>
      <c r="AH13" s="44">
        <f>'Plan ventes'!AH7</f>
        <v>1.2247448713915889</v>
      </c>
      <c r="AI13" s="44">
        <f>'Plan ventes'!AI7</f>
        <v>1.2247448713915889</v>
      </c>
      <c r="AJ13" s="44">
        <f>'Plan ventes'!AJ7</f>
        <v>1.2247448713915889</v>
      </c>
      <c r="AK13" s="44">
        <f>'Plan ventes'!AK7</f>
        <v>1.2247448713915889</v>
      </c>
    </row>
    <row r="14" spans="1:37" x14ac:dyDescent="0.2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</row>
    <row r="15" spans="1:37" ht="18" customHeight="1" x14ac:dyDescent="0.2">
      <c r="A15" s="40" t="s">
        <v>540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</row>
    <row r="16" spans="1:37" x14ac:dyDescent="0.2">
      <c r="A16" s="39" t="s">
        <v>541</v>
      </c>
      <c r="B16" s="45">
        <f>'Plan ventes'!B13</f>
        <v>25</v>
      </c>
      <c r="C16" s="45">
        <f>'Plan ventes'!C13</f>
        <v>27.25</v>
      </c>
      <c r="D16" s="45">
        <f>'Plan ventes'!D13</f>
        <v>29.432500000000001</v>
      </c>
      <c r="E16" s="45">
        <f>'Plan ventes'!E13</f>
        <v>31.549524999999999</v>
      </c>
      <c r="F16" s="45">
        <f>'Plan ventes'!F13</f>
        <v>33.603039249999995</v>
      </c>
      <c r="G16" s="45">
        <f>'Plan ventes'!G13</f>
        <v>35.594948072499996</v>
      </c>
      <c r="H16" s="45">
        <f>'Plan ventes'!H13</f>
        <v>37.527099630324997</v>
      </c>
      <c r="I16" s="45">
        <f>'Plan ventes'!I13</f>
        <v>39.401286641415247</v>
      </c>
      <c r="J16" s="45">
        <f>'Plan ventes'!J13</f>
        <v>41.219248042172786</v>
      </c>
      <c r="K16" s="45">
        <f>'Plan ventes'!K13</f>
        <v>42.982670600907603</v>
      </c>
      <c r="L16" s="45">
        <f>'Plan ventes'!L13</f>
        <v>44.693190482880375</v>
      </c>
      <c r="M16" s="45">
        <f>'Plan ventes'!M13</f>
        <v>46.352394768393964</v>
      </c>
      <c r="N16" s="45">
        <f>'Plan ventes'!N13</f>
        <v>47.96182292534214</v>
      </c>
      <c r="O16" s="45">
        <f>'Plan ventes'!O13</f>
        <v>49.522968237581878</v>
      </c>
      <c r="P16" s="45">
        <f>'Plan ventes'!P13</f>
        <v>51.03727919045442</v>
      </c>
      <c r="Q16" s="45">
        <f>'Plan ventes'!Q13</f>
        <v>52.506160814740788</v>
      </c>
      <c r="R16" s="45">
        <f>'Plan ventes'!R13</f>
        <v>53.930975990298563</v>
      </c>
      <c r="S16" s="45">
        <f>'Plan ventes'!S13</f>
        <v>55.313046710589603</v>
      </c>
      <c r="T16" s="45">
        <f>'Plan ventes'!T13</f>
        <v>56.653655309271912</v>
      </c>
      <c r="U16" s="45">
        <f>'Plan ventes'!U13</f>
        <v>57.954045649993752</v>
      </c>
      <c r="V16" s="45">
        <f>'Plan ventes'!V13</f>
        <v>59.215424280493934</v>
      </c>
      <c r="W16" s="45">
        <f>'Plan ventes'!W13</f>
        <v>60.438961552079114</v>
      </c>
      <c r="X16" s="45">
        <f>'Plan ventes'!X13</f>
        <v>61.625792705516737</v>
      </c>
      <c r="Y16" s="45">
        <f>'Plan ventes'!Y13</f>
        <v>62.777018924351232</v>
      </c>
      <c r="Z16" s="45">
        <f>'Plan ventes'!Z13</f>
        <v>63.893708356620692</v>
      </c>
      <c r="AA16" s="45">
        <f>'Plan ventes'!AA13</f>
        <v>69.976897105922063</v>
      </c>
      <c r="AB16" s="45">
        <f>'Plan ventes'!AB13</f>
        <v>75.877590192744393</v>
      </c>
      <c r="AC16" s="45">
        <f>'Plan ventes'!AC13</f>
        <v>81.601262486962057</v>
      </c>
      <c r="AD16" s="45">
        <f>'Plan ventes'!AD13</f>
        <v>87.153224612353199</v>
      </c>
      <c r="AE16" s="45">
        <f>'Plan ventes'!AE13</f>
        <v>92.538627873982605</v>
      </c>
      <c r="AF16" s="45">
        <f>'Plan ventes'!AF13</f>
        <v>97.762469037763125</v>
      </c>
      <c r="AG16" s="45">
        <f>'Plan ventes'!AG13</f>
        <v>102.82959496663022</v>
      </c>
      <c r="AH16" s="45">
        <f>'Plan ventes'!AH13</f>
        <v>107.74470711763132</v>
      </c>
      <c r="AI16" s="45">
        <f>'Plan ventes'!AI13</f>
        <v>112.51236590410238</v>
      </c>
      <c r="AJ16" s="45">
        <f>'Plan ventes'!AJ13</f>
        <v>117.13699492697931</v>
      </c>
      <c r="AK16" s="45">
        <f>'Plan ventes'!AK13</f>
        <v>121.62288507916993</v>
      </c>
    </row>
    <row r="17" spans="1:37" x14ac:dyDescent="0.2">
      <c r="A17" s="39" t="s">
        <v>542</v>
      </c>
      <c r="B17" s="42">
        <f>'Plan ventes'!B21</f>
        <v>0.375</v>
      </c>
      <c r="C17" s="42">
        <f>'Plan ventes'!C21</f>
        <v>0.35091743119266056</v>
      </c>
      <c r="D17" s="42">
        <f>'Plan ventes'!D21</f>
        <v>0.33139386732353687</v>
      </c>
      <c r="E17" s="42">
        <f>'Plan ventes'!E21</f>
        <v>0.31533992984046516</v>
      </c>
      <c r="F17" s="42">
        <f>'Plan ventes'!F21</f>
        <v>0.30199058556883374</v>
      </c>
      <c r="G17" s="42">
        <f>'Plan ventes'!G21</f>
        <v>0.29079288186957092</v>
      </c>
      <c r="H17" s="42">
        <f>'Plan ventes'!H21</f>
        <v>0.28133729450459449</v>
      </c>
      <c r="I17" s="42">
        <f>'Plan ventes'!I21</f>
        <v>0.27331412378022785</v>
      </c>
      <c r="J17" s="42">
        <f>'Plan ventes'!J21</f>
        <v>0.26648488797412884</v>
      </c>
      <c r="K17" s="42">
        <f>'Plan ventes'!K21</f>
        <v>0.26066302242740569</v>
      </c>
      <c r="L17" s="42">
        <f>'Plan ventes'!L21</f>
        <v>0.25570053433147383</v>
      </c>
      <c r="M17" s="42">
        <f>'Plan ventes'!M21</f>
        <v>0.25147857407246865</v>
      </c>
      <c r="N17" s="42">
        <f>'Plan ventes'!N21</f>
        <v>0.24790064469675391</v>
      </c>
      <c r="O17" s="42">
        <f>'Plan ventes'!O21</f>
        <v>0.24545439268219432</v>
      </c>
      <c r="P17" s="42">
        <f>'Plan ventes'!P21</f>
        <v>0.24349727183072462</v>
      </c>
      <c r="Q17" s="42">
        <f>'Plan ventes'!Q21</f>
        <v>0.24197777964336359</v>
      </c>
      <c r="R17" s="42">
        <f>'Plan ventes'!R21</f>
        <v>0.24085275037516357</v>
      </c>
      <c r="S17" s="42">
        <f>'Plan ventes'!S21</f>
        <v>0.24008578510240772</v>
      </c>
      <c r="T17" s="42">
        <f>'Plan ventes'!T21</f>
        <v>0.23964602516799399</v>
      </c>
      <c r="U17" s="42">
        <f>'Plan ventes'!U21</f>
        <v>0.2395071845068967</v>
      </c>
      <c r="V17" s="42">
        <f>'Plan ventes'!V21</f>
        <v>0.23964677931137143</v>
      </c>
      <c r="W17" s="42">
        <f>'Plan ventes'!W21</f>
        <v>0.24004550966664431</v>
      </c>
      <c r="X17" s="42">
        <f>'Plan ventes'!X21</f>
        <v>0.24068675933049261</v>
      </c>
      <c r="Y17" s="42">
        <f>'Plan ventes'!Y21</f>
        <v>0.24155618817092431</v>
      </c>
      <c r="Z17" s="42">
        <f>'Plan ventes'!Z21</f>
        <v>0.24264139787246</v>
      </c>
      <c r="AA17" s="42">
        <f>'Plan ventes'!AA21</f>
        <v>0.22697504604676649</v>
      </c>
      <c r="AB17" s="42">
        <f>'Plan ventes'!AB21</f>
        <v>0.2144514880960175</v>
      </c>
      <c r="AC17" s="42">
        <f>'Plan ventes'!AC21</f>
        <v>0.20429395470995818</v>
      </c>
      <c r="AD17" s="42">
        <f>'Plan ventes'!AD21</f>
        <v>0.19596509972916182</v>
      </c>
      <c r="AE17" s="42">
        <f>'Plan ventes'!AE21</f>
        <v>0.18908145573079016</v>
      </c>
      <c r="AF17" s="42">
        <f>'Plan ventes'!AF21</f>
        <v>0.1833621241081235</v>
      </c>
      <c r="AG17" s="42">
        <f>'Plan ventes'!AG21</f>
        <v>0.17859671528354149</v>
      </c>
      <c r="AH17" s="42">
        <f>'Plan ventes'!AH21</f>
        <v>0.17462460916045333</v>
      </c>
      <c r="AI17" s="42">
        <f>'Plan ventes'!AI21</f>
        <v>0.1713211317344166</v>
      </c>
      <c r="AJ17" s="42">
        <f>'Plan ventes'!AJ21</f>
        <v>0.16858809883951234</v>
      </c>
      <c r="AK17" s="42">
        <f>'Plan ventes'!AK21</f>
        <v>0.16634719798469891</v>
      </c>
    </row>
    <row r="18" spans="1:37" x14ac:dyDescent="0.2">
      <c r="A18" s="39" t="s">
        <v>543</v>
      </c>
      <c r="B18" s="45">
        <f>'Plan ventes'!B20</f>
        <v>0</v>
      </c>
      <c r="C18" s="45">
        <f>'Plan ventes'!C20</f>
        <v>0</v>
      </c>
      <c r="D18" s="45">
        <f>'Plan ventes'!D20</f>
        <v>0</v>
      </c>
      <c r="E18" s="45">
        <f>'Plan ventes'!E20</f>
        <v>0</v>
      </c>
      <c r="F18" s="45">
        <f>'Plan ventes'!F20</f>
        <v>0</v>
      </c>
      <c r="G18" s="45">
        <f>'Plan ventes'!G20</f>
        <v>0</v>
      </c>
      <c r="H18" s="45">
        <f>'Plan ventes'!H20</f>
        <v>0</v>
      </c>
      <c r="I18" s="45">
        <f>'Plan ventes'!I20</f>
        <v>0</v>
      </c>
      <c r="J18" s="45">
        <f>'Plan ventes'!J20</f>
        <v>0</v>
      </c>
      <c r="K18" s="45">
        <f>'Plan ventes'!K20</f>
        <v>0</v>
      </c>
      <c r="L18" s="45">
        <f>'Plan ventes'!L20</f>
        <v>0</v>
      </c>
      <c r="M18" s="45">
        <f>'Plan ventes'!M20</f>
        <v>0</v>
      </c>
      <c r="N18" s="45">
        <f>'Plan ventes'!N20</f>
        <v>0</v>
      </c>
      <c r="O18" s="45">
        <f>'Plan ventes'!O20</f>
        <v>0</v>
      </c>
      <c r="P18" s="45">
        <f>'Plan ventes'!P20</f>
        <v>0</v>
      </c>
      <c r="Q18" s="45">
        <f>'Plan ventes'!Q20</f>
        <v>0</v>
      </c>
      <c r="R18" s="45">
        <f>'Plan ventes'!R20</f>
        <v>0</v>
      </c>
      <c r="S18" s="45">
        <f>'Plan ventes'!S20</f>
        <v>0</v>
      </c>
      <c r="T18" s="45">
        <f>'Plan ventes'!T20</f>
        <v>0</v>
      </c>
      <c r="U18" s="45">
        <f>'Plan ventes'!U20</f>
        <v>0</v>
      </c>
      <c r="V18" s="45">
        <f>'Plan ventes'!V20</f>
        <v>0</v>
      </c>
      <c r="W18" s="45">
        <f>'Plan ventes'!W20</f>
        <v>0</v>
      </c>
      <c r="X18" s="45">
        <f>'Plan ventes'!X20</f>
        <v>0</v>
      </c>
      <c r="Y18" s="45">
        <f>'Plan ventes'!Y20</f>
        <v>0</v>
      </c>
      <c r="Z18" s="45">
        <f>'Plan ventes'!Z20</f>
        <v>0</v>
      </c>
      <c r="AA18" s="45">
        <f>'Plan ventes'!AA20</f>
        <v>0</v>
      </c>
      <c r="AB18" s="45">
        <f>'Plan ventes'!AB20</f>
        <v>0</v>
      </c>
      <c r="AC18" s="45">
        <f>'Plan ventes'!AC20</f>
        <v>0</v>
      </c>
      <c r="AD18" s="45">
        <f>'Plan ventes'!AD20</f>
        <v>0</v>
      </c>
      <c r="AE18" s="45">
        <f>'Plan ventes'!AE20</f>
        <v>0</v>
      </c>
      <c r="AF18" s="45">
        <f>'Plan ventes'!AF20</f>
        <v>0</v>
      </c>
      <c r="AG18" s="45">
        <f>'Plan ventes'!AG20</f>
        <v>0</v>
      </c>
      <c r="AH18" s="45">
        <f>'Plan ventes'!AH20</f>
        <v>0</v>
      </c>
      <c r="AI18" s="45">
        <f>'Plan ventes'!AI20</f>
        <v>0</v>
      </c>
      <c r="AJ18" s="45">
        <f>'Plan ventes'!AJ20</f>
        <v>0</v>
      </c>
      <c r="AK18" s="45">
        <f>'Plan ventes'!AK20</f>
        <v>0</v>
      </c>
    </row>
    <row r="19" spans="1:37" x14ac:dyDescent="0.2">
      <c r="A19" s="39" t="s">
        <v>544</v>
      </c>
      <c r="B19" s="58">
        <f>'Plan ventes'!B67</f>
        <v>0</v>
      </c>
      <c r="C19" s="58">
        <f>'Plan ventes'!C67</f>
        <v>0</v>
      </c>
      <c r="D19" s="58">
        <f>'Plan ventes'!D67</f>
        <v>0</v>
      </c>
      <c r="E19" s="58">
        <f>'Plan ventes'!E67</f>
        <v>0</v>
      </c>
      <c r="F19" s="58">
        <f>'Plan ventes'!F67</f>
        <v>0</v>
      </c>
      <c r="G19" s="58">
        <f>'Plan ventes'!G67</f>
        <v>0</v>
      </c>
      <c r="H19" s="58">
        <f>'Plan ventes'!H67</f>
        <v>0</v>
      </c>
      <c r="I19" s="58">
        <f>'Plan ventes'!I67</f>
        <v>0</v>
      </c>
      <c r="J19" s="58">
        <f>'Plan ventes'!J67</f>
        <v>0</v>
      </c>
      <c r="K19" s="58">
        <f>'Plan ventes'!K67</f>
        <v>0</v>
      </c>
      <c r="L19" s="58">
        <f>'Plan ventes'!L67</f>
        <v>0</v>
      </c>
      <c r="M19" s="58">
        <f>'Plan ventes'!M67</f>
        <v>0</v>
      </c>
      <c r="N19" s="58">
        <f>'Plan ventes'!N67</f>
        <v>0</v>
      </c>
      <c r="O19" s="58">
        <f>'Plan ventes'!O67</f>
        <v>0</v>
      </c>
      <c r="P19" s="58">
        <f>'Plan ventes'!P67</f>
        <v>0</v>
      </c>
      <c r="Q19" s="58">
        <f>'Plan ventes'!Q67</f>
        <v>0</v>
      </c>
      <c r="R19" s="58">
        <f>'Plan ventes'!R67</f>
        <v>0</v>
      </c>
      <c r="S19" s="58">
        <f>'Plan ventes'!S67</f>
        <v>0</v>
      </c>
      <c r="T19" s="58">
        <f>'Plan ventes'!T67</f>
        <v>0</v>
      </c>
      <c r="U19" s="58">
        <f>'Plan ventes'!U67</f>
        <v>0</v>
      </c>
      <c r="V19" s="58">
        <f>'Plan ventes'!V67</f>
        <v>0</v>
      </c>
      <c r="W19" s="58">
        <f>'Plan ventes'!W67</f>
        <v>0</v>
      </c>
      <c r="X19" s="58">
        <f>'Plan ventes'!X67</f>
        <v>0</v>
      </c>
      <c r="Y19" s="58">
        <f>'Plan ventes'!Y67</f>
        <v>0</v>
      </c>
      <c r="Z19" s="58">
        <f>'Plan ventes'!Z67</f>
        <v>0</v>
      </c>
      <c r="AA19" s="58">
        <f>'Plan ventes'!AA67</f>
        <v>0</v>
      </c>
      <c r="AB19" s="58">
        <f>'Plan ventes'!AB67</f>
        <v>0</v>
      </c>
      <c r="AC19" s="58">
        <f>'Plan ventes'!AC67</f>
        <v>0</v>
      </c>
      <c r="AD19" s="58">
        <f>'Plan ventes'!AD67</f>
        <v>0</v>
      </c>
      <c r="AE19" s="58">
        <f>'Plan ventes'!AE67</f>
        <v>0</v>
      </c>
      <c r="AF19" s="58">
        <f>'Plan ventes'!AF67</f>
        <v>0</v>
      </c>
      <c r="AG19" s="58">
        <f>'Plan ventes'!AG67</f>
        <v>0</v>
      </c>
      <c r="AH19" s="58">
        <f>'Plan ventes'!AH67</f>
        <v>0</v>
      </c>
      <c r="AI19" s="58">
        <f>'Plan ventes'!AI67</f>
        <v>0</v>
      </c>
      <c r="AJ19" s="58">
        <f>'Plan ventes'!AJ67</f>
        <v>0</v>
      </c>
      <c r="AK19" s="58">
        <f>'Plan ventes'!AK67</f>
        <v>0</v>
      </c>
    </row>
    <row r="20" spans="1:37" x14ac:dyDescent="0.2">
      <c r="A20" s="39" t="s">
        <v>545</v>
      </c>
      <c r="B20" s="45">
        <f>'Plan ventes'!B36</f>
        <v>8</v>
      </c>
      <c r="C20" s="45">
        <f>'Plan ventes'!C36</f>
        <v>8.84</v>
      </c>
      <c r="D20" s="45">
        <f>'Plan ventes'!D36</f>
        <v>9.6631999999999998</v>
      </c>
      <c r="E20" s="45">
        <f>'Plan ventes'!E36</f>
        <v>10.469935999999999</v>
      </c>
      <c r="F20" s="45">
        <f>'Plan ventes'!F36</f>
        <v>11.260537279999999</v>
      </c>
      <c r="G20" s="45">
        <f>'Plan ventes'!G36</f>
        <v>12.035326534399999</v>
      </c>
      <c r="H20" s="45">
        <f>'Plan ventes'!H36</f>
        <v>12.794620003712</v>
      </c>
      <c r="I20" s="45">
        <f>'Plan ventes'!I36</f>
        <v>13.53872760363776</v>
      </c>
      <c r="J20" s="45">
        <f>'Plan ventes'!J36</f>
        <v>14.267953051565005</v>
      </c>
      <c r="K20" s="45">
        <f>'Plan ventes'!K36</f>
        <v>14.982593990533704</v>
      </c>
      <c r="L20" s="45">
        <f>'Plan ventes'!L36</f>
        <v>15.68294211072303</v>
      </c>
      <c r="M20" s="45">
        <f>'Plan ventes'!M36</f>
        <v>16.369283268508568</v>
      </c>
      <c r="N20" s="45">
        <f>'Plan ventes'!N36</f>
        <v>17.041897603138395</v>
      </c>
      <c r="O20" s="45">
        <f>'Plan ventes'!O36</f>
        <v>17.701059651075628</v>
      </c>
      <c r="P20" s="45">
        <f>'Plan ventes'!P36</f>
        <v>18.347038458054115</v>
      </c>
      <c r="Q20" s="45">
        <f>'Plan ventes'!Q36</f>
        <v>18.980097688893032</v>
      </c>
      <c r="R20" s="45">
        <f>'Plan ventes'!R36</f>
        <v>19.600495735115171</v>
      </c>
      <c r="S20" s="45">
        <f>'Plan ventes'!S36</f>
        <v>20.208485820412868</v>
      </c>
      <c r="T20" s="45">
        <f>'Plan ventes'!T36</f>
        <v>20.804316104004609</v>
      </c>
      <c r="U20" s="45">
        <f>'Plan ventes'!U36</f>
        <v>21.388229781924515</v>
      </c>
      <c r="V20" s="45">
        <f>'Plan ventes'!V36</f>
        <v>21.960465186286026</v>
      </c>
      <c r="W20" s="45">
        <f>'Plan ventes'!W36</f>
        <v>22.521255882560304</v>
      </c>
      <c r="X20" s="45">
        <f>'Plan ventes'!X36</f>
        <v>23.070830764909097</v>
      </c>
      <c r="Y20" s="45">
        <f>'Plan ventes'!Y36</f>
        <v>23.609414149610913</v>
      </c>
      <c r="Z20" s="45">
        <f>'Plan ventes'!Z36</f>
        <v>24.137225866618696</v>
      </c>
      <c r="AA20" s="45">
        <f>'Plan ventes'!AA36</f>
        <v>25.654481349286321</v>
      </c>
      <c r="AB20" s="45">
        <f>'Plan ventes'!AB36</f>
        <v>27.141391722300593</v>
      </c>
      <c r="AC20" s="45">
        <f>'Plan ventes'!AC36</f>
        <v>28.598563887854581</v>
      </c>
      <c r="AD20" s="45">
        <f>'Plan ventes'!AD36</f>
        <v>30.026592610097488</v>
      </c>
      <c r="AE20" s="45">
        <f>'Plan ventes'!AE36</f>
        <v>31.426060757895538</v>
      </c>
      <c r="AF20" s="45">
        <f>'Plan ventes'!AF36</f>
        <v>32.797539542737624</v>
      </c>
      <c r="AG20" s="45">
        <f>'Plan ventes'!AG36</f>
        <v>34.141588751882871</v>
      </c>
      <c r="AH20" s="45">
        <f>'Plan ventes'!AH36</f>
        <v>35.458756976845216</v>
      </c>
      <c r="AI20" s="45">
        <f>'Plan ventes'!AI36</f>
        <v>36.749581837308313</v>
      </c>
      <c r="AJ20" s="45">
        <f>'Plan ventes'!AJ36</f>
        <v>38.014590200562147</v>
      </c>
      <c r="AK20" s="45">
        <f>'Plan ventes'!AK36</f>
        <v>39.254298396550901</v>
      </c>
    </row>
    <row r="21" spans="1:37" x14ac:dyDescent="0.2">
      <c r="A21" s="39" t="s">
        <v>546</v>
      </c>
      <c r="B21" s="42">
        <f>'Plan ventes'!B41</f>
        <v>0.46875</v>
      </c>
      <c r="C21" s="42">
        <f>'Plan ventes'!C41</f>
        <v>0.43184389140271495</v>
      </c>
      <c r="D21" s="42">
        <f>'Plan ventes'!D41</f>
        <v>0.40216646659491678</v>
      </c>
      <c r="E21" s="42">
        <f>'Plan ventes'!E41</f>
        <v>0.37785969942891728</v>
      </c>
      <c r="F21" s="42">
        <f>'Plan ventes'!F41</f>
        <v>0.35765414860027001</v>
      </c>
      <c r="G21" s="42">
        <f>'Plan ventes'!G41</f>
        <v>0.34065304864537038</v>
      </c>
      <c r="H21" s="42">
        <f>'Plan ventes'!H41</f>
        <v>0.32620494757421115</v>
      </c>
      <c r="I21" s="42">
        <f>'Plan ventes'!I41</f>
        <v>0.31382523544213831</v>
      </c>
      <c r="J21" s="42">
        <f>'Plan ventes'!J41</f>
        <v>0.3031459846389491</v>
      </c>
      <c r="K21" s="42">
        <f>'Plan ventes'!K41</f>
        <v>0.29388286084237047</v>
      </c>
      <c r="L21" s="42">
        <f>'Plan ventes'!L41</f>
        <v>0.2858126906072665</v>
      </c>
      <c r="M21" s="42">
        <f>'Plan ventes'!M41</f>
        <v>0.27875788550532965</v>
      </c>
      <c r="N21" s="42">
        <f>'Plan ventes'!N41</f>
        <v>0.27257539633102718</v>
      </c>
      <c r="O21" s="42">
        <f>'Plan ventes'!O41</f>
        <v>0.26770628276813824</v>
      </c>
      <c r="P21" s="42">
        <f>'Plan ventes'!P41</f>
        <v>0.26347844012776261</v>
      </c>
      <c r="Q21" s="42">
        <f>'Plan ventes'!Q41</f>
        <v>0.25981596700632748</v>
      </c>
      <c r="R21" s="42">
        <f>'Plan ventes'!R41</f>
        <v>0.25665542615837345</v>
      </c>
      <c r="S21" s="42">
        <f>'Plan ventes'!S41</f>
        <v>0.2539434162435294</v>
      </c>
      <c r="T21" s="42">
        <f>'Plan ventes'!T41</f>
        <v>0.25163469075401723</v>
      </c>
      <c r="U21" s="42">
        <f>'Plan ventes'!U41</f>
        <v>0.24969068549838216</v>
      </c>
      <c r="V21" s="42">
        <f>'Plan ventes'!V41</f>
        <v>0.24807835475230861</v>
      </c>
      <c r="W21" s="42">
        <f>'Plan ventes'!W41</f>
        <v>0.24676924315696921</v>
      </c>
      <c r="X21" s="42">
        <f>'Plan ventes'!X41</f>
        <v>0.24573873949052885</v>
      </c>
      <c r="Y21" s="42">
        <f>'Plan ventes'!Y41</f>
        <v>0.24496547206452371</v>
      </c>
      <c r="Z21" s="42">
        <f>'Plan ventes'!Z41</f>
        <v>0.24443081536460795</v>
      </c>
      <c r="AA21" s="42">
        <f>'Plan ventes'!AA41</f>
        <v>0.23560791256821187</v>
      </c>
      <c r="AB21" s="42">
        <f>'Plan ventes'!AB41</f>
        <v>0.22815542366698768</v>
      </c>
      <c r="AC21" s="42">
        <f>'Plan ventes'!AC41</f>
        <v>0.2218341913970848</v>
      </c>
      <c r="AD21" s="42">
        <f>'Plan ventes'!AD41</f>
        <v>0.21645940386514945</v>
      </c>
      <c r="AE21" s="42">
        <f>'Plan ventes'!AE41</f>
        <v>0.21188604937355604</v>
      </c>
      <c r="AF21" s="42">
        <f>'Plan ventes'!AF41</f>
        <v>0.20799880736043516</v>
      </c>
      <c r="AG21" s="42">
        <f>'Plan ventes'!AG41</f>
        <v>0.20470487340926205</v>
      </c>
      <c r="AH21" s="42">
        <f>'Plan ventes'!AH41</f>
        <v>0.20192877070636073</v>
      </c>
      <c r="AI21" s="42">
        <f>'Plan ventes'!AI41</f>
        <v>0.19960853467697512</v>
      </c>
      <c r="AJ21" s="42">
        <f>'Plan ventes'!AJ41</f>
        <v>0.19769286477213083</v>
      </c>
      <c r="AK21" s="42">
        <f>'Plan ventes'!AK41</f>
        <v>0.1961389690262185</v>
      </c>
    </row>
    <row r="22" spans="1:37" x14ac:dyDescent="0.2">
      <c r="A22" s="39" t="s">
        <v>547</v>
      </c>
      <c r="B22" s="45">
        <f>'Plan ventes'!B49</f>
        <v>15</v>
      </c>
      <c r="C22" s="45">
        <f>'Plan ventes'!C49</f>
        <v>16.25</v>
      </c>
      <c r="D22" s="45">
        <f>'Plan ventes'!D49</f>
        <v>17.4375</v>
      </c>
      <c r="E22" s="45">
        <f>'Plan ventes'!E49</f>
        <v>18.565625000000001</v>
      </c>
      <c r="F22" s="45">
        <f>'Plan ventes'!F49</f>
        <v>19.637343749999999</v>
      </c>
      <c r="G22" s="45">
        <f>'Plan ventes'!G49</f>
        <v>20.655476562499999</v>
      </c>
      <c r="H22" s="45">
        <f>'Plan ventes'!H49</f>
        <v>21.622702734374997</v>
      </c>
      <c r="I22" s="45">
        <f>'Plan ventes'!I49</f>
        <v>22.541567597656247</v>
      </c>
      <c r="J22" s="45">
        <f>'Plan ventes'!J49</f>
        <v>23.414489217773433</v>
      </c>
      <c r="K22" s="45">
        <f>'Plan ventes'!K49</f>
        <v>24.243764756884762</v>
      </c>
      <c r="L22" s="45">
        <f>'Plan ventes'!L49</f>
        <v>25.031576519040524</v>
      </c>
      <c r="M22" s="45">
        <f>'Plan ventes'!M49</f>
        <v>25.779997693088497</v>
      </c>
      <c r="N22" s="45">
        <f>'Plan ventes'!N49</f>
        <v>26.49099780843407</v>
      </c>
      <c r="O22" s="45">
        <f>'Plan ventes'!O49</f>
        <v>27.166447918012366</v>
      </c>
      <c r="P22" s="45">
        <f>'Plan ventes'!P49</f>
        <v>27.808125522111748</v>
      </c>
      <c r="Q22" s="45">
        <f>'Plan ventes'!Q49</f>
        <v>28.417719246006161</v>
      </c>
      <c r="R22" s="45">
        <f>'Plan ventes'!R49</f>
        <v>28.99683328370585</v>
      </c>
      <c r="S22" s="45">
        <f>'Plan ventes'!S49</f>
        <v>29.546991619520558</v>
      </c>
      <c r="T22" s="45">
        <f>'Plan ventes'!T49</f>
        <v>30.069642038544529</v>
      </c>
      <c r="U22" s="45">
        <f>'Plan ventes'!U49</f>
        <v>30.5661599366173</v>
      </c>
      <c r="V22" s="45">
        <f>'Plan ventes'!V49</f>
        <v>31.037851939786435</v>
      </c>
      <c r="W22" s="45">
        <f>'Plan ventes'!W49</f>
        <v>31.485959342797113</v>
      </c>
      <c r="X22" s="45">
        <f>'Plan ventes'!X49</f>
        <v>31.911661375657257</v>
      </c>
      <c r="Y22" s="45">
        <f>'Plan ventes'!Y49</f>
        <v>32.316078306874388</v>
      </c>
      <c r="Z22" s="45">
        <f>'Plan ventes'!Z49</f>
        <v>32.70027439153067</v>
      </c>
      <c r="AA22" s="45">
        <f>'Plan ventes'!AA49</f>
        <v>33.065260671954135</v>
      </c>
      <c r="AB22" s="45">
        <f>'Plan ventes'!AB49</f>
        <v>33.411997638356425</v>
      </c>
      <c r="AC22" s="45">
        <f>'Plan ventes'!AC49</f>
        <v>33.741397756438602</v>
      </c>
      <c r="AD22" s="45">
        <f>'Plan ventes'!AD49</f>
        <v>34.054327868616667</v>
      </c>
      <c r="AE22" s="45">
        <f>'Plan ventes'!AE49</f>
        <v>34.351611475185834</v>
      </c>
      <c r="AF22" s="45">
        <f>'Plan ventes'!AF49</f>
        <v>34.634030901426542</v>
      </c>
      <c r="AG22" s="45">
        <f>'Plan ventes'!AG49</f>
        <v>34.90232935635521</v>
      </c>
      <c r="AH22" s="45">
        <f>'Plan ventes'!AH49</f>
        <v>35.157212888537451</v>
      </c>
      <c r="AI22" s="45">
        <f>'Plan ventes'!AI49</f>
        <v>35.399352244110574</v>
      </c>
      <c r="AJ22" s="45">
        <f>'Plan ventes'!AJ49</f>
        <v>35.62938463190504</v>
      </c>
      <c r="AK22" s="45">
        <f>'Plan ventes'!AK49</f>
        <v>35.847915400309788</v>
      </c>
    </row>
    <row r="23" spans="1:37" x14ac:dyDescent="0.2">
      <c r="A23" s="39" t="s">
        <v>548</v>
      </c>
      <c r="B23" s="42">
        <f>'Plan ventes'!B54</f>
        <v>0.8</v>
      </c>
      <c r="C23" s="42">
        <f>'Plan ventes'!C54</f>
        <v>0.74953846153846149</v>
      </c>
      <c r="D23" s="42">
        <f>'Plan ventes'!D54</f>
        <v>0.70897204301075256</v>
      </c>
      <c r="E23" s="42">
        <f>'Plan ventes'!E54</f>
        <v>0.67588031644504276</v>
      </c>
      <c r="F23" s="42">
        <f>'Plan ventes'!F54</f>
        <v>0.64857868608120661</v>
      </c>
      <c r="G23" s="42">
        <f>'Plan ventes'!G54</f>
        <v>0.62585861950443655</v>
      </c>
      <c r="H23" s="42">
        <f>'Plan ventes'!H54</f>
        <v>0.60683066906579985</v>
      </c>
      <c r="I23" s="42">
        <f>'Plan ventes'!I54</f>
        <v>0.59082576653657848</v>
      </c>
      <c r="J23" s="42">
        <f>'Plan ventes'!J54</f>
        <v>0.57733102411145132</v>
      </c>
      <c r="K23" s="42">
        <f>'Plan ventes'!K54</f>
        <v>0.56594674310368476</v>
      </c>
      <c r="L23" s="42">
        <f>'Plan ventes'!L54</f>
        <v>0.55635688346311152</v>
      </c>
      <c r="M23" s="42">
        <f>'Plan ventes'!M54</f>
        <v>0.54830832093503046</v>
      </c>
      <c r="N23" s="42">
        <f>'Plan ventes'!N54</f>
        <v>0.53999520890970865</v>
      </c>
      <c r="O23" s="42">
        <f>'Plan ventes'!O54</f>
        <v>0.5336337607938646</v>
      </c>
      <c r="P23" s="42">
        <f>'Plan ventes'!P54</f>
        <v>0.52831430635144705</v>
      </c>
      <c r="Q23" s="42">
        <f>'Plan ventes'!Q54</f>
        <v>0.52391737146774409</v>
      </c>
      <c r="R23" s="42">
        <f>'Plan ventes'!R54</f>
        <v>0.52034259412665396</v>
      </c>
      <c r="S23" s="42">
        <f>'Plan ventes'!S54</f>
        <v>0.51750507353324049</v>
      </c>
      <c r="T23" s="42">
        <f>'Plan ventes'!T54</f>
        <v>0.51533252577694844</v>
      </c>
      <c r="U23" s="42">
        <f>'Plan ventes'!U54</f>
        <v>0.51376304556850194</v>
      </c>
      <c r="V23" s="42">
        <f>'Plan ventes'!V54</f>
        <v>0.51274332857530458</v>
      </c>
      <c r="W23" s="42">
        <f>'Plan ventes'!W54</f>
        <v>0.51222724746361858</v>
      </c>
      <c r="X23" s="42">
        <f>'Plan ventes'!X54</f>
        <v>0.51217470219622263</v>
      </c>
      <c r="Y23" s="42">
        <f>'Plan ventes'!Y54</f>
        <v>0.51255068489618949</v>
      </c>
      <c r="Z23" s="42">
        <f>'Plan ventes'!Z54</f>
        <v>0.51219188134001414</v>
      </c>
      <c r="AA23" s="42">
        <f>'Plan ventes'!AA54</f>
        <v>0.51274192218271875</v>
      </c>
      <c r="AB23" s="42">
        <f>'Plan ventes'!AB54</f>
        <v>0.51363549333087388</v>
      </c>
      <c r="AC23" s="42">
        <f>'Plan ventes'!AC54</f>
        <v>0.51485044226913268</v>
      </c>
      <c r="AD23" s="42">
        <f>'Plan ventes'!AD54</f>
        <v>0.51636706885658179</v>
      </c>
      <c r="AE23" s="42">
        <f>'Plan ventes'!AE54</f>
        <v>0.51816780554844155</v>
      </c>
      <c r="AF23" s="42">
        <f>'Plan ventes'!AF54</f>
        <v>0.52023694666675924</v>
      </c>
      <c r="AG23" s="42">
        <f>'Plan ventes'!AG54</f>
        <v>0.52256041816991927</v>
      </c>
      <c r="AH23" s="42">
        <f>'Plan ventes'!AH54</f>
        <v>0.52512558103246121</v>
      </c>
      <c r="AI23" s="42">
        <f>'Plan ventes'!AI54</f>
        <v>0.52792106265367555</v>
      </c>
      <c r="AJ23" s="42">
        <f>'Plan ventes'!AJ54</f>
        <v>0.53093661174791607</v>
      </c>
      <c r="AK23" s="42">
        <f>'Plan ventes'!AK54</f>
        <v>0.53416297299323179</v>
      </c>
    </row>
    <row r="24" spans="1:37" x14ac:dyDescent="0.2">
      <c r="A24" s="39" t="s">
        <v>549</v>
      </c>
      <c r="B24" s="43">
        <f>'Plan ventes'!B70</f>
        <v>0</v>
      </c>
      <c r="C24" s="43">
        <f>'Plan ventes'!C70</f>
        <v>0</v>
      </c>
      <c r="D24" s="43">
        <f>'Plan ventes'!D70</f>
        <v>0</v>
      </c>
      <c r="E24" s="43">
        <f>'Plan ventes'!E70</f>
        <v>0</v>
      </c>
      <c r="F24" s="43">
        <f>'Plan ventes'!F70</f>
        <v>0</v>
      </c>
      <c r="G24" s="43">
        <f>'Plan ventes'!G70</f>
        <v>0</v>
      </c>
      <c r="H24" s="43">
        <f>'Plan ventes'!H70</f>
        <v>0</v>
      </c>
      <c r="I24" s="43">
        <f>'Plan ventes'!I70</f>
        <v>0</v>
      </c>
      <c r="J24" s="43">
        <f>'Plan ventes'!J70</f>
        <v>0</v>
      </c>
      <c r="K24" s="43">
        <f>'Plan ventes'!K70</f>
        <v>0</v>
      </c>
      <c r="L24" s="43">
        <f>'Plan ventes'!L70</f>
        <v>0</v>
      </c>
      <c r="M24" s="43">
        <f>'Plan ventes'!M70</f>
        <v>0</v>
      </c>
      <c r="N24" s="43">
        <f>'Plan ventes'!N70</f>
        <v>0</v>
      </c>
      <c r="O24" s="43">
        <f>'Plan ventes'!O70</f>
        <v>0</v>
      </c>
      <c r="P24" s="43">
        <f>'Plan ventes'!P70</f>
        <v>0</v>
      </c>
      <c r="Q24" s="43">
        <f>'Plan ventes'!Q70</f>
        <v>0</v>
      </c>
      <c r="R24" s="43">
        <f>'Plan ventes'!R70</f>
        <v>0</v>
      </c>
      <c r="S24" s="43">
        <f>'Plan ventes'!S70</f>
        <v>0</v>
      </c>
      <c r="T24" s="43">
        <f>'Plan ventes'!T70</f>
        <v>0</v>
      </c>
      <c r="U24" s="43">
        <f>'Plan ventes'!U70</f>
        <v>0</v>
      </c>
      <c r="V24" s="43">
        <f>'Plan ventes'!V70</f>
        <v>0</v>
      </c>
      <c r="W24" s="43">
        <f>'Plan ventes'!W70</f>
        <v>0</v>
      </c>
      <c r="X24" s="43">
        <f>'Plan ventes'!X70</f>
        <v>0</v>
      </c>
      <c r="Y24" s="43">
        <f>'Plan ventes'!Y70</f>
        <v>0</v>
      </c>
      <c r="Z24" s="43">
        <f>'Plan ventes'!Z70</f>
        <v>1</v>
      </c>
      <c r="AA24" s="43">
        <f>'Plan ventes'!AA70</f>
        <v>1</v>
      </c>
      <c r="AB24" s="43">
        <f>'Plan ventes'!AB70</f>
        <v>1</v>
      </c>
      <c r="AC24" s="43">
        <f>'Plan ventes'!AC70</f>
        <v>1</v>
      </c>
      <c r="AD24" s="43">
        <f>'Plan ventes'!AD70</f>
        <v>1</v>
      </c>
      <c r="AE24" s="43">
        <f>'Plan ventes'!AE70</f>
        <v>1</v>
      </c>
      <c r="AF24" s="43">
        <f>'Plan ventes'!AF70</f>
        <v>1</v>
      </c>
      <c r="AG24" s="43">
        <f>'Plan ventes'!AG70</f>
        <v>1</v>
      </c>
      <c r="AH24" s="43">
        <f>'Plan ventes'!AH70</f>
        <v>1</v>
      </c>
      <c r="AI24" s="43">
        <f>'Plan ventes'!AI70</f>
        <v>1</v>
      </c>
      <c r="AJ24" s="43">
        <f>'Plan ventes'!AJ70</f>
        <v>1</v>
      </c>
      <c r="AK24" s="43">
        <f>'Plan ventes'!AK70</f>
        <v>1</v>
      </c>
    </row>
    <row r="25" spans="1:37" x14ac:dyDescent="0.2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</row>
    <row r="26" spans="1:37" ht="18" customHeight="1" x14ac:dyDescent="0.2">
      <c r="A26" s="40" t="s">
        <v>550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</row>
    <row r="27" spans="1:37" x14ac:dyDescent="0.2">
      <c r="A27" s="39" t="s">
        <v>551</v>
      </c>
      <c r="B27" s="45">
        <f>'Plan ventes'!B11+'Plan ventes'!B34</f>
        <v>33</v>
      </c>
      <c r="C27" s="45">
        <f>'Plan ventes'!C11+'Plan ventes'!C34</f>
        <v>4</v>
      </c>
      <c r="D27" s="45">
        <f>'Plan ventes'!D11+'Plan ventes'!D34</f>
        <v>4</v>
      </c>
      <c r="E27" s="45">
        <f>'Plan ventes'!E11+'Plan ventes'!E34</f>
        <v>4</v>
      </c>
      <c r="F27" s="45">
        <f>'Plan ventes'!F11+'Plan ventes'!F34</f>
        <v>4</v>
      </c>
      <c r="G27" s="45">
        <f>'Plan ventes'!G11+'Plan ventes'!G34</f>
        <v>4</v>
      </c>
      <c r="H27" s="45">
        <f>'Plan ventes'!H11+'Plan ventes'!H34</f>
        <v>4</v>
      </c>
      <c r="I27" s="45">
        <f>'Plan ventes'!I11+'Plan ventes'!I34</f>
        <v>4</v>
      </c>
      <c r="J27" s="45">
        <f>'Plan ventes'!J11+'Plan ventes'!J34</f>
        <v>4</v>
      </c>
      <c r="K27" s="45">
        <f>'Plan ventes'!K11+'Plan ventes'!K34</f>
        <v>4</v>
      </c>
      <c r="L27" s="45">
        <f>'Plan ventes'!L11+'Plan ventes'!L34</f>
        <v>4</v>
      </c>
      <c r="M27" s="45">
        <f>'Plan ventes'!M11+'Plan ventes'!M34</f>
        <v>4</v>
      </c>
      <c r="N27" s="45">
        <f>'Plan ventes'!N11+'Plan ventes'!N34</f>
        <v>4</v>
      </c>
      <c r="O27" s="45">
        <f>'Plan ventes'!O11+'Plan ventes'!O34</f>
        <v>4</v>
      </c>
      <c r="P27" s="45">
        <f>'Plan ventes'!P11+'Plan ventes'!P34</f>
        <v>4</v>
      </c>
      <c r="Q27" s="45">
        <f>'Plan ventes'!Q11+'Plan ventes'!Q34</f>
        <v>4</v>
      </c>
      <c r="R27" s="45">
        <f>'Plan ventes'!R11+'Plan ventes'!R34</f>
        <v>4</v>
      </c>
      <c r="S27" s="45">
        <f>'Plan ventes'!S11+'Plan ventes'!S34</f>
        <v>4</v>
      </c>
      <c r="T27" s="45">
        <f>'Plan ventes'!T11+'Plan ventes'!T34</f>
        <v>4</v>
      </c>
      <c r="U27" s="45">
        <f>'Plan ventes'!U11+'Plan ventes'!U34</f>
        <v>4</v>
      </c>
      <c r="V27" s="45">
        <f>'Plan ventes'!V11+'Plan ventes'!V34</f>
        <v>4</v>
      </c>
      <c r="W27" s="45">
        <f>'Plan ventes'!W11+'Plan ventes'!W34</f>
        <v>4</v>
      </c>
      <c r="X27" s="45">
        <f>'Plan ventes'!X11+'Plan ventes'!X34</f>
        <v>4</v>
      </c>
      <c r="Y27" s="45">
        <f>'Plan ventes'!Y11+'Plan ventes'!Y34</f>
        <v>4</v>
      </c>
      <c r="Z27" s="45">
        <f>'Plan ventes'!Z11+'Plan ventes'!Z34</f>
        <v>4</v>
      </c>
      <c r="AA27" s="45">
        <f>'Plan ventes'!AA11+'Plan ventes'!AA34</f>
        <v>10</v>
      </c>
      <c r="AB27" s="45">
        <f>'Plan ventes'!AB11+'Plan ventes'!AB34</f>
        <v>10</v>
      </c>
      <c r="AC27" s="45">
        <f>'Plan ventes'!AC11+'Plan ventes'!AC34</f>
        <v>10</v>
      </c>
      <c r="AD27" s="45">
        <f>'Plan ventes'!AD11+'Plan ventes'!AD34</f>
        <v>10</v>
      </c>
      <c r="AE27" s="45">
        <f>'Plan ventes'!AE11+'Plan ventes'!AE34</f>
        <v>10</v>
      </c>
      <c r="AF27" s="45">
        <f>'Plan ventes'!AF11+'Plan ventes'!AF34</f>
        <v>10</v>
      </c>
      <c r="AG27" s="45">
        <f>'Plan ventes'!AG11+'Plan ventes'!AG34</f>
        <v>10</v>
      </c>
      <c r="AH27" s="45">
        <f>'Plan ventes'!AH11+'Plan ventes'!AH34</f>
        <v>10</v>
      </c>
      <c r="AI27" s="45">
        <f>'Plan ventes'!AI11+'Plan ventes'!AI34</f>
        <v>10</v>
      </c>
      <c r="AJ27" s="45">
        <f>'Plan ventes'!AJ11+'Plan ventes'!AJ34</f>
        <v>10</v>
      </c>
      <c r="AK27" s="45">
        <f>'Plan ventes'!AK11+'Plan ventes'!AK34</f>
        <v>10</v>
      </c>
    </row>
    <row r="28" spans="1:37" x14ac:dyDescent="0.2">
      <c r="A28" s="39" t="s">
        <v>552</v>
      </c>
      <c r="B28" s="45">
        <f>'Plan ventes'!B27+'Plan ventes'!B65</f>
        <v>30.299999999999997</v>
      </c>
      <c r="C28" s="45">
        <f>'Plan ventes'!C27+'Plan ventes'!C65</f>
        <v>16.717499999999998</v>
      </c>
      <c r="D28" s="45">
        <f>'Plan ventes'!D27+'Plan ventes'!D65</f>
        <v>17.071884000000004</v>
      </c>
      <c r="E28" s="45">
        <f>'Plan ventes'!E27+'Plan ventes'!E65</f>
        <v>17.434823697000002</v>
      </c>
      <c r="F28" s="45">
        <f>'Plan ventes'!F27+'Plan ventes'!F65</f>
        <v>17.806571040321003</v>
      </c>
      <c r="G28" s="45">
        <f>'Plan ventes'!G27+'Plan ventes'!G65</f>
        <v>18.187387179473408</v>
      </c>
      <c r="H28" s="45">
        <f>'Plan ventes'!H27+'Plan ventes'!H65</f>
        <v>18.577542858154953</v>
      </c>
      <c r="I28" s="45">
        <f>'Plan ventes'!I27+'Plan ventes'!I65</f>
        <v>18.977318826659889</v>
      </c>
      <c r="J28" s="45">
        <f>'Plan ventes'!J27+'Plan ventes'!J65</f>
        <v>19.387006273594707</v>
      </c>
      <c r="K28" s="45">
        <f>'Plan ventes'!K27+'Plan ventes'!K65</f>
        <v>19.806907277839976</v>
      </c>
      <c r="L28" s="45">
        <f>'Plan ventes'!L27+'Plan ventes'!L65</f>
        <v>20.237335281744372</v>
      </c>
      <c r="M28" s="45">
        <f>'Plan ventes'!M27+'Plan ventes'!M65</f>
        <v>20.678615586585746</v>
      </c>
      <c r="N28" s="45">
        <f>'Plan ventes'!N27+'Plan ventes'!N65</f>
        <v>20.868174043405787</v>
      </c>
      <c r="O28" s="45">
        <f>'Plan ventes'!O27+'Plan ventes'!O65</f>
        <v>21.464763196023057</v>
      </c>
      <c r="P28" s="45">
        <f>'Plan ventes'!P27+'Plan ventes'!P65</f>
        <v>21.96051919251795</v>
      </c>
      <c r="Q28" s="45">
        <f>'Plan ventes'!Q27+'Plan ventes'!Q65</f>
        <v>22.468831996888667</v>
      </c>
      <c r="R28" s="45">
        <f>'Plan ventes'!R27+'Plan ventes'!R65</f>
        <v>22.990059505301438</v>
      </c>
      <c r="S28" s="45">
        <f>'Plan ventes'!S27+'Plan ventes'!S65</f>
        <v>23.524571238448644</v>
      </c>
      <c r="T28" s="45">
        <f>'Plan ventes'!T27+'Plan ventes'!T65</f>
        <v>24.072748766194536</v>
      </c>
      <c r="U28" s="45">
        <f>'Plan ventes'!U27+'Plan ventes'!U65</f>
        <v>24.634986149127837</v>
      </c>
      <c r="V28" s="45">
        <f>'Plan ventes'!V27+'Plan ventes'!V65</f>
        <v>25.211690397731683</v>
      </c>
      <c r="W28" s="45">
        <f>'Plan ventes'!W27+'Plan ventes'!W65</f>
        <v>25.803281949911735</v>
      </c>
      <c r="X28" s="45">
        <f>'Plan ventes'!X27+'Plan ventes'!X65</f>
        <v>26.41019516765579</v>
      </c>
      <c r="Y28" s="45">
        <f>'Plan ventes'!Y27+'Plan ventes'!Y65</f>
        <v>27.032878853631477</v>
      </c>
      <c r="Z28" s="45">
        <f>'Plan ventes'!Z27+'Plan ventes'!Z65</f>
        <v>27.183552504170574</v>
      </c>
      <c r="AA28" s="45">
        <f>'Plan ventes'!AA27+'Plan ventes'!AA65</f>
        <v>27.984350942085239</v>
      </c>
      <c r="AB28" s="45">
        <f>'Plan ventes'!AB27+'Plan ventes'!AB65</f>
        <v>28.672420187365748</v>
      </c>
      <c r="AC28" s="45">
        <f>'Plan ventes'!AC27+'Plan ventes'!AC65</f>
        <v>29.378201908303517</v>
      </c>
      <c r="AD28" s="45">
        <f>'Plan ventes'!AD27+'Plan ventes'!AD65</f>
        <v>30.102170849679716</v>
      </c>
      <c r="AE28" s="45">
        <f>'Plan ventes'!AE27+'Plan ventes'!AE65</f>
        <v>30.844815001548415</v>
      </c>
      <c r="AF28" s="45">
        <f>'Plan ventes'!AF27+'Plan ventes'!AF65</f>
        <v>31.606635984471758</v>
      </c>
      <c r="AG28" s="45">
        <f>'Plan ventes'!AG27+'Plan ventes'!AG65</f>
        <v>32.388149446442497</v>
      </c>
      <c r="AH28" s="45">
        <f>'Plan ventes'!AH27+'Plan ventes'!AH65</f>
        <v>33.189885471862709</v>
      </c>
      <c r="AI28" s="45">
        <f>'Plan ventes'!AI27+'Plan ventes'!AI65</f>
        <v>34.012389002960369</v>
      </c>
      <c r="AJ28" s="45">
        <f>'Plan ventes'!AJ27+'Plan ventes'!AJ65</f>
        <v>34.856220274037057</v>
      </c>
      <c r="AK28" s="45">
        <f>'Plan ventes'!AK27+'Plan ventes'!AK65</f>
        <v>35.721955258954054</v>
      </c>
    </row>
    <row r="29" spans="1:37" x14ac:dyDescent="0.2">
      <c r="A29" s="39" t="s">
        <v>553</v>
      </c>
      <c r="B29" s="58">
        <f>'Plan ventes'!B6+Parametres!$D$120*(1+Parametres!$D$47)^(B$2-1)*Parametres!$D$70+Parametres!$D$71*Parametres!$D$113*(1+Parametres!$D$115)*(1+Parametres!$D$47)^(B$2-1)</f>
        <v>763200</v>
      </c>
      <c r="C29" s="58">
        <f>'Plan ventes'!C6+Parametres!$D$120*(1+Parametres!$D$47)^(C$2-1)*Parametres!$D$70+Parametres!$D$71*Parametres!$D$113*(1+Parametres!$D$115)*(1+Parametres!$D$47)^(C$2-1)</f>
        <v>763200</v>
      </c>
      <c r="D29" s="58">
        <f>'Plan ventes'!D6+Parametres!$D$120*(1+Parametres!$D$47)^(D$2-1)*Parametres!$D$70+Parametres!$D$71*Parametres!$D$113*(1+Parametres!$D$115)*(1+Parametres!$D$47)^(D$2-1)</f>
        <v>763200</v>
      </c>
      <c r="E29" s="58">
        <f>'Plan ventes'!E6+Parametres!$D$120*(1+Parametres!$D$47)^(E$2-1)*Parametres!$D$70+Parametres!$D$71*Parametres!$D$113*(1+Parametres!$D$115)*(1+Parametres!$D$47)^(E$2-1)</f>
        <v>763200</v>
      </c>
      <c r="F29" s="58">
        <f>'Plan ventes'!F6+Parametres!$D$120*(1+Parametres!$D$47)^(F$2-1)*Parametres!$D$70+Parametres!$D$71*Parametres!$D$113*(1+Parametres!$D$115)*(1+Parametres!$D$47)^(F$2-1)</f>
        <v>763200</v>
      </c>
      <c r="G29" s="58">
        <f>'Plan ventes'!G6+Parametres!$D$120*(1+Parametres!$D$47)^(G$2-1)*Parametres!$D$70+Parametres!$D$71*Parametres!$D$113*(1+Parametres!$D$115)*(1+Parametres!$D$47)^(G$2-1)</f>
        <v>763200</v>
      </c>
      <c r="H29" s="58">
        <f>'Plan ventes'!H6+Parametres!$D$120*(1+Parametres!$D$47)^(H$2-1)*Parametres!$D$70+Parametres!$D$71*Parametres!$D$113*(1+Parametres!$D$115)*(1+Parametres!$D$47)^(H$2-1)</f>
        <v>763200</v>
      </c>
      <c r="I29" s="58">
        <f>'Plan ventes'!I6+Parametres!$D$120*(1+Parametres!$D$47)^(I$2-1)*Parametres!$D$70+Parametres!$D$71*Parametres!$D$113*(1+Parametres!$D$115)*(1+Parametres!$D$47)^(I$2-1)</f>
        <v>763200</v>
      </c>
      <c r="J29" s="58">
        <f>'Plan ventes'!J6+Parametres!$D$120*(1+Parametres!$D$47)^(J$2-1)*Parametres!$D$70+Parametres!$D$71*Parametres!$D$113*(1+Parametres!$D$115)*(1+Parametres!$D$47)^(J$2-1)</f>
        <v>763200</v>
      </c>
      <c r="K29" s="58">
        <f>'Plan ventes'!K6+Parametres!$D$120*(1+Parametres!$D$47)^(K$2-1)*Parametres!$D$70+Parametres!$D$71*Parametres!$D$113*(1+Parametres!$D$115)*(1+Parametres!$D$47)^(K$2-1)</f>
        <v>763200</v>
      </c>
      <c r="L29" s="58">
        <f>'Plan ventes'!L6+Parametres!$D$120*(1+Parametres!$D$47)^(L$2-1)*Parametres!$D$70+Parametres!$D$71*Parametres!$D$113*(1+Parametres!$D$115)*(1+Parametres!$D$47)^(L$2-1)</f>
        <v>763200</v>
      </c>
      <c r="M29" s="58">
        <f>'Plan ventes'!M6+Parametres!$D$120*(1+Parametres!$D$47)^(M$2-1)*Parametres!$D$70+Parametres!$D$71*Parametres!$D$113*(1+Parametres!$D$115)*(1+Parametres!$D$47)^(M$2-1)</f>
        <v>763200</v>
      </c>
      <c r="N29" s="58">
        <f>'Plan ventes'!N6+Parametres!$D$120*(1+Parametres!$D$47)^(N$2-1)*Parametres!$D$70+Parametres!$D$71*Parametres!$D$113*(1+Parametres!$D$115)*(1+Parametres!$D$47)^(N$2-1)</f>
        <v>892256</v>
      </c>
      <c r="O29" s="58">
        <f>'Plan ventes'!O6+Parametres!$D$120*(1+Parametres!$D$47)^(O$2-1)*Parametres!$D$70+Parametres!$D$71*Parametres!$D$113*(1+Parametres!$D$115)*(1+Parametres!$D$47)^(O$2-1)</f>
        <v>892256</v>
      </c>
      <c r="P29" s="58">
        <f>'Plan ventes'!P6+Parametres!$D$120*(1+Parametres!$D$47)^(P$2-1)*Parametres!$D$70+Parametres!$D$71*Parametres!$D$113*(1+Parametres!$D$115)*(1+Parametres!$D$47)^(P$2-1)</f>
        <v>892256</v>
      </c>
      <c r="Q29" s="58">
        <f>'Plan ventes'!Q6+Parametres!$D$120*(1+Parametres!$D$47)^(Q$2-1)*Parametres!$D$70+Parametres!$D$71*Parametres!$D$113*(1+Parametres!$D$115)*(1+Parametres!$D$47)^(Q$2-1)</f>
        <v>892256</v>
      </c>
      <c r="R29" s="58">
        <f>'Plan ventes'!R6+Parametres!$D$120*(1+Parametres!$D$47)^(R$2-1)*Parametres!$D$70+Parametres!$D$71*Parametres!$D$113*(1+Parametres!$D$115)*(1+Parametres!$D$47)^(R$2-1)</f>
        <v>892256</v>
      </c>
      <c r="S29" s="58">
        <f>'Plan ventes'!S6+Parametres!$D$120*(1+Parametres!$D$47)^(S$2-1)*Parametres!$D$70+Parametres!$D$71*Parametres!$D$113*(1+Parametres!$D$115)*(1+Parametres!$D$47)^(S$2-1)</f>
        <v>892256</v>
      </c>
      <c r="T29" s="58">
        <f>'Plan ventes'!T6+Parametres!$D$120*(1+Parametres!$D$47)^(T$2-1)*Parametres!$D$70+Parametres!$D$71*Parametres!$D$113*(1+Parametres!$D$115)*(1+Parametres!$D$47)^(T$2-1)</f>
        <v>892256</v>
      </c>
      <c r="U29" s="58">
        <f>'Plan ventes'!U6+Parametres!$D$120*(1+Parametres!$D$47)^(U$2-1)*Parametres!$D$70+Parametres!$D$71*Parametres!$D$113*(1+Parametres!$D$115)*(1+Parametres!$D$47)^(U$2-1)</f>
        <v>892256</v>
      </c>
      <c r="V29" s="58">
        <f>'Plan ventes'!V6+Parametres!$D$120*(1+Parametres!$D$47)^(V$2-1)*Parametres!$D$70+Parametres!$D$71*Parametres!$D$113*(1+Parametres!$D$115)*(1+Parametres!$D$47)^(V$2-1)</f>
        <v>892256</v>
      </c>
      <c r="W29" s="58">
        <f>'Plan ventes'!W6+Parametres!$D$120*(1+Parametres!$D$47)^(W$2-1)*Parametres!$D$70+Parametres!$D$71*Parametres!$D$113*(1+Parametres!$D$115)*(1+Parametres!$D$47)^(W$2-1)</f>
        <v>892256</v>
      </c>
      <c r="X29" s="58">
        <f>'Plan ventes'!X6+Parametres!$D$120*(1+Parametres!$D$47)^(X$2-1)*Parametres!$D$70+Parametres!$D$71*Parametres!$D$113*(1+Parametres!$D$115)*(1+Parametres!$D$47)^(X$2-1)</f>
        <v>892256</v>
      </c>
      <c r="Y29" s="58">
        <f>'Plan ventes'!Y6+Parametres!$D$120*(1+Parametres!$D$47)^(Y$2-1)*Parametres!$D$70+Parametres!$D$71*Parametres!$D$113*(1+Parametres!$D$115)*(1+Parametres!$D$47)^(Y$2-1)</f>
        <v>892256</v>
      </c>
      <c r="Z29" s="58">
        <f>'Plan ventes'!Z6+Parametres!$D$120*(1+Parametres!$D$47)^(Z$2-1)*Parametres!$D$70+Parametres!$D$71*Parametres!$D$113*(1+Parametres!$D$115)*(1+Parametres!$D$47)^(Z$2-1)</f>
        <v>1023636.48</v>
      </c>
      <c r="AA29" s="58">
        <f>'Plan ventes'!AA6+Parametres!$D$120*(1+Parametres!$D$47)^(AA$2-1)*Parametres!$D$70+Parametres!$D$71*Parametres!$D$113*(1+Parametres!$D$115)*(1+Parametres!$D$47)^(AA$2-1)</f>
        <v>1023636.48</v>
      </c>
      <c r="AB29" s="58">
        <f>'Plan ventes'!AB6+Parametres!$D$120*(1+Parametres!$D$47)^(AB$2-1)*Parametres!$D$70+Parametres!$D$71*Parametres!$D$113*(1+Parametres!$D$115)*(1+Parametres!$D$47)^(AB$2-1)</f>
        <v>1023636.48</v>
      </c>
      <c r="AC29" s="58">
        <f>'Plan ventes'!AC6+Parametres!$D$120*(1+Parametres!$D$47)^(AC$2-1)*Parametres!$D$70+Parametres!$D$71*Parametres!$D$113*(1+Parametres!$D$115)*(1+Parametres!$D$47)^(AC$2-1)</f>
        <v>1023636.48</v>
      </c>
      <c r="AD29" s="58">
        <f>'Plan ventes'!AD6+Parametres!$D$120*(1+Parametres!$D$47)^(AD$2-1)*Parametres!$D$70+Parametres!$D$71*Parametres!$D$113*(1+Parametres!$D$115)*(1+Parametres!$D$47)^(AD$2-1)</f>
        <v>1023636.48</v>
      </c>
      <c r="AE29" s="58">
        <f>'Plan ventes'!AE6+Parametres!$D$120*(1+Parametres!$D$47)^(AE$2-1)*Parametres!$D$70+Parametres!$D$71*Parametres!$D$113*(1+Parametres!$D$115)*(1+Parametres!$D$47)^(AE$2-1)</f>
        <v>1023636.48</v>
      </c>
      <c r="AF29" s="58">
        <f>'Plan ventes'!AF6+Parametres!$D$120*(1+Parametres!$D$47)^(AF$2-1)*Parametres!$D$70+Parametres!$D$71*Parametres!$D$113*(1+Parametres!$D$115)*(1+Parametres!$D$47)^(AF$2-1)</f>
        <v>1023636.48</v>
      </c>
      <c r="AG29" s="58">
        <f>'Plan ventes'!AG6+Parametres!$D$120*(1+Parametres!$D$47)^(AG$2-1)*Parametres!$D$70+Parametres!$D$71*Parametres!$D$113*(1+Parametres!$D$115)*(1+Parametres!$D$47)^(AG$2-1)</f>
        <v>1023636.48</v>
      </c>
      <c r="AH29" s="58">
        <f>'Plan ventes'!AH6+Parametres!$D$120*(1+Parametres!$D$47)^(AH$2-1)*Parametres!$D$70+Parametres!$D$71*Parametres!$D$113*(1+Parametres!$D$115)*(1+Parametres!$D$47)^(AH$2-1)</f>
        <v>1023636.48</v>
      </c>
      <c r="AI29" s="58">
        <f>'Plan ventes'!AI6+Parametres!$D$120*(1+Parametres!$D$47)^(AI$2-1)*Parametres!$D$70+Parametres!$D$71*Parametres!$D$113*(1+Parametres!$D$115)*(1+Parametres!$D$47)^(AI$2-1)</f>
        <v>1023636.48</v>
      </c>
      <c r="AJ29" s="58">
        <f>'Plan ventes'!AJ6+Parametres!$D$120*(1+Parametres!$D$47)^(AJ$2-1)*Parametres!$D$70+Parametres!$D$71*Parametres!$D$113*(1+Parametres!$D$115)*(1+Parametres!$D$47)^(AJ$2-1)</f>
        <v>1023636.48</v>
      </c>
      <c r="AK29" s="58">
        <f>'Plan ventes'!AK6+Parametres!$D$120*(1+Parametres!$D$47)^(AK$2-1)*Parametres!$D$70+Parametres!$D$71*Parametres!$D$113*(1+Parametres!$D$115)*(1+Parametres!$D$47)^(AK$2-1)</f>
        <v>1023636.48</v>
      </c>
    </row>
    <row r="30" spans="1:37" x14ac:dyDescent="0.2">
      <c r="A30" s="39" t="s">
        <v>554</v>
      </c>
      <c r="B30" s="58">
        <f>Parametres!$D$76*B29</f>
        <v>228960</v>
      </c>
      <c r="C30" s="58">
        <f>Parametres!$D$76*C29</f>
        <v>228960</v>
      </c>
      <c r="D30" s="58">
        <f>Parametres!$D$76*D29</f>
        <v>228960</v>
      </c>
      <c r="E30" s="58">
        <f>Parametres!$D$76*E29</f>
        <v>228960</v>
      </c>
      <c r="F30" s="58">
        <f>Parametres!$D$76*F29</f>
        <v>228960</v>
      </c>
      <c r="G30" s="58">
        <f>Parametres!$D$76*G29</f>
        <v>228960</v>
      </c>
      <c r="H30" s="58">
        <f>Parametres!$D$76*H29</f>
        <v>228960</v>
      </c>
      <c r="I30" s="58">
        <f>Parametres!$D$76*I29</f>
        <v>228960</v>
      </c>
      <c r="J30" s="58">
        <f>Parametres!$D$76*J29</f>
        <v>228960</v>
      </c>
      <c r="K30" s="58">
        <f>Parametres!$D$76*K29</f>
        <v>228960</v>
      </c>
      <c r="L30" s="58">
        <f>Parametres!$D$76*L29</f>
        <v>228960</v>
      </c>
      <c r="M30" s="58">
        <f>Parametres!$D$76*M29</f>
        <v>228960</v>
      </c>
      <c r="N30" s="58">
        <f>Parametres!$D$76*N29</f>
        <v>267676.79999999999</v>
      </c>
      <c r="O30" s="58">
        <f>Parametres!$D$76*O29</f>
        <v>267676.79999999999</v>
      </c>
      <c r="P30" s="58">
        <f>Parametres!$D$76*P29</f>
        <v>267676.79999999999</v>
      </c>
      <c r="Q30" s="58">
        <f>Parametres!$D$76*Q29</f>
        <v>267676.79999999999</v>
      </c>
      <c r="R30" s="58">
        <f>Parametres!$D$76*R29</f>
        <v>267676.79999999999</v>
      </c>
      <c r="S30" s="58">
        <f>Parametres!$D$76*S29</f>
        <v>267676.79999999999</v>
      </c>
      <c r="T30" s="58">
        <f>Parametres!$D$76*T29</f>
        <v>267676.79999999999</v>
      </c>
      <c r="U30" s="58">
        <f>Parametres!$D$76*U29</f>
        <v>267676.79999999999</v>
      </c>
      <c r="V30" s="58">
        <f>Parametres!$D$76*V29</f>
        <v>267676.79999999999</v>
      </c>
      <c r="W30" s="58">
        <f>Parametres!$D$76*W29</f>
        <v>267676.79999999999</v>
      </c>
      <c r="X30" s="58">
        <f>Parametres!$D$76*X29</f>
        <v>267676.79999999999</v>
      </c>
      <c r="Y30" s="58">
        <f>Parametres!$D$76*Y29</f>
        <v>267676.79999999999</v>
      </c>
      <c r="Z30" s="58">
        <f>Parametres!$D$76*Z29</f>
        <v>307090.94399999996</v>
      </c>
      <c r="AA30" s="58">
        <f>Parametres!$D$76*AA29</f>
        <v>307090.94399999996</v>
      </c>
      <c r="AB30" s="58">
        <f>Parametres!$D$76*AB29</f>
        <v>307090.94399999996</v>
      </c>
      <c r="AC30" s="58">
        <f>Parametres!$D$76*AC29</f>
        <v>307090.94399999996</v>
      </c>
      <c r="AD30" s="58">
        <f>Parametres!$D$76*AD29</f>
        <v>307090.94399999996</v>
      </c>
      <c r="AE30" s="58">
        <f>Parametres!$D$76*AE29</f>
        <v>307090.94399999996</v>
      </c>
      <c r="AF30" s="58">
        <f>Parametres!$D$76*AF29</f>
        <v>307090.94399999996</v>
      </c>
      <c r="AG30" s="58">
        <f>Parametres!$D$76*AG29</f>
        <v>307090.94399999996</v>
      </c>
      <c r="AH30" s="58">
        <f>Parametres!$D$76*AH29</f>
        <v>307090.94399999996</v>
      </c>
      <c r="AI30" s="58">
        <f>Parametres!$D$76*AI29</f>
        <v>307090.94399999996</v>
      </c>
      <c r="AJ30" s="58">
        <f>Parametres!$D$76*AJ29</f>
        <v>307090.94399999996</v>
      </c>
      <c r="AK30" s="58">
        <f>Parametres!$D$76*AK29</f>
        <v>307090.94399999996</v>
      </c>
    </row>
    <row r="31" spans="1:37" x14ac:dyDescent="0.2">
      <c r="A31" s="39" t="s">
        <v>555</v>
      </c>
      <c r="B31" s="58">
        <f>Parametres!$D$75*B29</f>
        <v>534240</v>
      </c>
      <c r="C31" s="58">
        <f>Parametres!$D$75*C29</f>
        <v>534240</v>
      </c>
      <c r="D31" s="58">
        <f>Parametres!$D$75*D29</f>
        <v>534240</v>
      </c>
      <c r="E31" s="58">
        <f>Parametres!$D$75*E29</f>
        <v>534240</v>
      </c>
      <c r="F31" s="58">
        <f>Parametres!$D$75*F29</f>
        <v>534240</v>
      </c>
      <c r="G31" s="58">
        <f>Parametres!$D$75*G29</f>
        <v>534240</v>
      </c>
      <c r="H31" s="58">
        <f>Parametres!$D$75*H29</f>
        <v>534240</v>
      </c>
      <c r="I31" s="58">
        <f>Parametres!$D$75*I29</f>
        <v>534240</v>
      </c>
      <c r="J31" s="58">
        <f>Parametres!$D$75*J29</f>
        <v>534240</v>
      </c>
      <c r="K31" s="58">
        <f>Parametres!$D$75*K29</f>
        <v>534240</v>
      </c>
      <c r="L31" s="58">
        <f>Parametres!$D$75*L29</f>
        <v>534240</v>
      </c>
      <c r="M31" s="58">
        <f>Parametres!$D$75*M29</f>
        <v>534240</v>
      </c>
      <c r="N31" s="58">
        <f>Parametres!$D$75*N29</f>
        <v>624579.19999999995</v>
      </c>
      <c r="O31" s="58">
        <f>Parametres!$D$75*O29</f>
        <v>624579.19999999995</v>
      </c>
      <c r="P31" s="58">
        <f>Parametres!$D$75*P29</f>
        <v>624579.19999999995</v>
      </c>
      <c r="Q31" s="58">
        <f>Parametres!$D$75*Q29</f>
        <v>624579.19999999995</v>
      </c>
      <c r="R31" s="58">
        <f>Parametres!$D$75*R29</f>
        <v>624579.19999999995</v>
      </c>
      <c r="S31" s="58">
        <f>Parametres!$D$75*S29</f>
        <v>624579.19999999995</v>
      </c>
      <c r="T31" s="58">
        <f>Parametres!$D$75*T29</f>
        <v>624579.19999999995</v>
      </c>
      <c r="U31" s="58">
        <f>Parametres!$D$75*U29</f>
        <v>624579.19999999995</v>
      </c>
      <c r="V31" s="58">
        <f>Parametres!$D$75*V29</f>
        <v>624579.19999999995</v>
      </c>
      <c r="W31" s="58">
        <f>Parametres!$D$75*W29</f>
        <v>624579.19999999995</v>
      </c>
      <c r="X31" s="58">
        <f>Parametres!$D$75*X29</f>
        <v>624579.19999999995</v>
      </c>
      <c r="Y31" s="58">
        <f>Parametres!$D$75*Y29</f>
        <v>624579.19999999995</v>
      </c>
      <c r="Z31" s="58">
        <f>Parametres!$D$75*Z29</f>
        <v>716545.53599999996</v>
      </c>
      <c r="AA31" s="58">
        <f>Parametres!$D$75*AA29</f>
        <v>716545.53599999996</v>
      </c>
      <c r="AB31" s="58">
        <f>Parametres!$D$75*AB29</f>
        <v>716545.53599999996</v>
      </c>
      <c r="AC31" s="58">
        <f>Parametres!$D$75*AC29</f>
        <v>716545.53599999996</v>
      </c>
      <c r="AD31" s="58">
        <f>Parametres!$D$75*AD29</f>
        <v>716545.53599999996</v>
      </c>
      <c r="AE31" s="58">
        <f>Parametres!$D$75*AE29</f>
        <v>716545.53599999996</v>
      </c>
      <c r="AF31" s="58">
        <f>Parametres!$D$75*AF29</f>
        <v>716545.53599999996</v>
      </c>
      <c r="AG31" s="58">
        <f>Parametres!$D$75*AG29</f>
        <v>716545.53599999996</v>
      </c>
      <c r="AH31" s="58">
        <f>Parametres!$D$75*AH29</f>
        <v>716545.53599999996</v>
      </c>
      <c r="AI31" s="58">
        <f>Parametres!$D$75*AI29</f>
        <v>716545.53599999996</v>
      </c>
      <c r="AJ31" s="58">
        <f>Parametres!$D$75*AJ29</f>
        <v>716545.53599999996</v>
      </c>
      <c r="AK31" s="58">
        <f>Parametres!$D$75*AK29</f>
        <v>716545.53599999996</v>
      </c>
    </row>
    <row r="32" spans="1:37" x14ac:dyDescent="0.2">
      <c r="A32" s="39" t="s">
        <v>556</v>
      </c>
      <c r="B32" s="66">
        <f t="shared" ref="B32:AK32" si="2">IF(B27=0,0,B30/B27)</f>
        <v>6938.181818181818</v>
      </c>
      <c r="C32" s="66">
        <f t="shared" si="2"/>
        <v>57240</v>
      </c>
      <c r="D32" s="66">
        <f t="shared" si="2"/>
        <v>57240</v>
      </c>
      <c r="E32" s="66">
        <f t="shared" si="2"/>
        <v>57240</v>
      </c>
      <c r="F32" s="66">
        <f t="shared" si="2"/>
        <v>57240</v>
      </c>
      <c r="G32" s="66">
        <f t="shared" si="2"/>
        <v>57240</v>
      </c>
      <c r="H32" s="66">
        <f t="shared" si="2"/>
        <v>57240</v>
      </c>
      <c r="I32" s="66">
        <f t="shared" si="2"/>
        <v>57240</v>
      </c>
      <c r="J32" s="66">
        <f t="shared" si="2"/>
        <v>57240</v>
      </c>
      <c r="K32" s="66">
        <f t="shared" si="2"/>
        <v>57240</v>
      </c>
      <c r="L32" s="66">
        <f t="shared" si="2"/>
        <v>57240</v>
      </c>
      <c r="M32" s="66">
        <f t="shared" si="2"/>
        <v>57240</v>
      </c>
      <c r="N32" s="66">
        <f t="shared" si="2"/>
        <v>66919.199999999997</v>
      </c>
      <c r="O32" s="66">
        <f t="shared" si="2"/>
        <v>66919.199999999997</v>
      </c>
      <c r="P32" s="66">
        <f t="shared" si="2"/>
        <v>66919.199999999997</v>
      </c>
      <c r="Q32" s="66">
        <f t="shared" si="2"/>
        <v>66919.199999999997</v>
      </c>
      <c r="R32" s="66">
        <f t="shared" si="2"/>
        <v>66919.199999999997</v>
      </c>
      <c r="S32" s="66">
        <f t="shared" si="2"/>
        <v>66919.199999999997</v>
      </c>
      <c r="T32" s="66">
        <f t="shared" si="2"/>
        <v>66919.199999999997</v>
      </c>
      <c r="U32" s="66">
        <f t="shared" si="2"/>
        <v>66919.199999999997</v>
      </c>
      <c r="V32" s="66">
        <f t="shared" si="2"/>
        <v>66919.199999999997</v>
      </c>
      <c r="W32" s="66">
        <f t="shared" si="2"/>
        <v>66919.199999999997</v>
      </c>
      <c r="X32" s="66">
        <f t="shared" si="2"/>
        <v>66919.199999999997</v>
      </c>
      <c r="Y32" s="66">
        <f t="shared" si="2"/>
        <v>66919.199999999997</v>
      </c>
      <c r="Z32" s="66">
        <f t="shared" si="2"/>
        <v>76772.73599999999</v>
      </c>
      <c r="AA32" s="66">
        <f t="shared" si="2"/>
        <v>30709.094399999994</v>
      </c>
      <c r="AB32" s="66">
        <f t="shared" si="2"/>
        <v>30709.094399999994</v>
      </c>
      <c r="AC32" s="66">
        <f t="shared" si="2"/>
        <v>30709.094399999994</v>
      </c>
      <c r="AD32" s="66">
        <f t="shared" si="2"/>
        <v>30709.094399999994</v>
      </c>
      <c r="AE32" s="66">
        <f t="shared" si="2"/>
        <v>30709.094399999994</v>
      </c>
      <c r="AF32" s="66">
        <f t="shared" si="2"/>
        <v>30709.094399999994</v>
      </c>
      <c r="AG32" s="66">
        <f t="shared" si="2"/>
        <v>30709.094399999994</v>
      </c>
      <c r="AH32" s="66">
        <f t="shared" si="2"/>
        <v>30709.094399999994</v>
      </c>
      <c r="AI32" s="66">
        <f t="shared" si="2"/>
        <v>30709.094399999994</v>
      </c>
      <c r="AJ32" s="66">
        <f t="shared" si="2"/>
        <v>30709.094399999994</v>
      </c>
      <c r="AK32" s="66">
        <f t="shared" si="2"/>
        <v>30709.094399999994</v>
      </c>
    </row>
    <row r="33" spans="1:37" x14ac:dyDescent="0.2">
      <c r="A33" s="39" t="s">
        <v>557</v>
      </c>
      <c r="B33" s="66">
        <f t="shared" ref="B33:AK33" si="3">IF(B28=0,0,B31/B28)</f>
        <v>17631.683168316835</v>
      </c>
      <c r="C33" s="66">
        <f t="shared" si="3"/>
        <v>31956.931359353974</v>
      </c>
      <c r="D33" s="66">
        <f t="shared" si="3"/>
        <v>31293.558461385976</v>
      </c>
      <c r="E33" s="66">
        <f t="shared" si="3"/>
        <v>30642.122299861643</v>
      </c>
      <c r="F33" s="66">
        <f t="shared" si="3"/>
        <v>30002.407470268859</v>
      </c>
      <c r="G33" s="66">
        <f t="shared" si="3"/>
        <v>29374.202832331644</v>
      </c>
      <c r="H33" s="66">
        <f t="shared" si="3"/>
        <v>28757.301440727701</v>
      </c>
      <c r="I33" s="66">
        <f t="shared" si="3"/>
        <v>28151.500476952737</v>
      </c>
      <c r="J33" s="66">
        <f t="shared" si="3"/>
        <v>27556.601182289818</v>
      </c>
      <c r="K33" s="66">
        <f t="shared" si="3"/>
        <v>26972.408791841481</v>
      </c>
      <c r="L33" s="66">
        <f t="shared" si="3"/>
        <v>26398.732469581875</v>
      </c>
      <c r="M33" s="66">
        <f t="shared" si="3"/>
        <v>25835.385244385627</v>
      </c>
      <c r="N33" s="66">
        <f t="shared" si="3"/>
        <v>29929.748462940537</v>
      </c>
      <c r="O33" s="66">
        <f t="shared" si="3"/>
        <v>29097.884486129369</v>
      </c>
      <c r="P33" s="66">
        <f t="shared" si="3"/>
        <v>28441.003353545348</v>
      </c>
      <c r="Q33" s="66">
        <f t="shared" si="3"/>
        <v>27797.582005441469</v>
      </c>
      <c r="R33" s="66">
        <f t="shared" si="3"/>
        <v>27167.358999482967</v>
      </c>
      <c r="S33" s="66">
        <f t="shared" si="3"/>
        <v>26550.077944850509</v>
      </c>
      <c r="T33" s="66">
        <f t="shared" si="3"/>
        <v>25945.48740844665</v>
      </c>
      <c r="U33" s="66">
        <f t="shared" si="3"/>
        <v>25353.340822645936</v>
      </c>
      <c r="V33" s="66">
        <f t="shared" si="3"/>
        <v>24773.396394562813</v>
      </c>
      <c r="W33" s="66">
        <f t="shared" si="3"/>
        <v>24205.417016812331</v>
      </c>
      <c r="X33" s="66">
        <f t="shared" si="3"/>
        <v>23649.170179738532</v>
      </c>
      <c r="Y33" s="66">
        <f t="shared" si="3"/>
        <v>23104.427885086192</v>
      </c>
      <c r="Z33" s="66">
        <f t="shared" si="3"/>
        <v>26359.525153677601</v>
      </c>
      <c r="AA33" s="66">
        <f t="shared" si="3"/>
        <v>25605.222628994336</v>
      </c>
      <c r="AB33" s="66">
        <f t="shared" si="3"/>
        <v>24990.75876112263</v>
      </c>
      <c r="AC33" s="66">
        <f t="shared" si="3"/>
        <v>24390.380944229062</v>
      </c>
      <c r="AD33" s="66">
        <f t="shared" si="3"/>
        <v>23803.782776271895</v>
      </c>
      <c r="AE33" s="66">
        <f t="shared" si="3"/>
        <v>23230.664082894622</v>
      </c>
      <c r="AF33" s="66">
        <f t="shared" si="3"/>
        <v>22670.730803241338</v>
      </c>
      <c r="AG33" s="66">
        <f t="shared" si="3"/>
        <v>22123.694877501101</v>
      </c>
      <c r="AH33" s="66">
        <f t="shared" si="3"/>
        <v>21589.274136166081</v>
      </c>
      <c r="AI33" s="66">
        <f t="shared" si="3"/>
        <v>21067.192190987622</v>
      </c>
      <c r="AJ33" s="66">
        <f t="shared" si="3"/>
        <v>20557.178327614736</v>
      </c>
      <c r="AK33" s="66">
        <f t="shared" si="3"/>
        <v>20058.96739989872</v>
      </c>
    </row>
    <row r="34" spans="1:37" x14ac:dyDescent="0.2">
      <c r="A34" s="39" t="s">
        <v>558</v>
      </c>
      <c r="B34" s="58">
        <f>IF('Plan ventes'!B13+'Plan ventes'!B36=0,0,(0.5*('Plan ventes'!B24+'Plan ventes'!B44)+'Plan ventes'!B17)/('Plan ventes'!B13+'Plan ventes'!B36))</f>
        <v>7259.090909090909</v>
      </c>
      <c r="C34" s="58">
        <f>IF('Plan ventes'!C13+'Plan ventes'!C36=0,0,(0.5*('Plan ventes'!C24+'Plan ventes'!C44)+'Plan ventes'!C17)/('Plan ventes'!C13+'Plan ventes'!C36))</f>
        <v>6884.932460515377</v>
      </c>
      <c r="D34" s="58">
        <f>IF('Plan ventes'!D13+'Plan ventes'!D36=0,0,(0.5*('Plan ventes'!D24+'Plan ventes'!D44)+'Plan ventes'!D17)/('Plan ventes'!D13+'Plan ventes'!D36))</f>
        <v>6581.5887955708677</v>
      </c>
      <c r="E34" s="58">
        <f>IF('Plan ventes'!E13+'Plan ventes'!E36=0,0,(0.5*('Plan ventes'!E24+'Plan ventes'!E44)+'Plan ventes'!E17)/('Plan ventes'!E13+'Plan ventes'!E36))</f>
        <v>6331.8292678563876</v>
      </c>
      <c r="F34" s="58">
        <f>IF('Plan ventes'!F13+'Plan ventes'!F36=0,0,(0.5*('Plan ventes'!F24+'Plan ventes'!F44)+'Plan ventes'!F17)/('Plan ventes'!F13+'Plan ventes'!F36))</f>
        <v>6123.6316381679781</v>
      </c>
      <c r="G34" s="58">
        <f>IF('Plan ventes'!G13+'Plan ventes'!G36=0,0,(0.5*('Plan ventes'!G24+'Plan ventes'!G44)+'Plan ventes'!G17)/('Plan ventes'!G13+'Plan ventes'!G36))</f>
        <v>5948.3534139568728</v>
      </c>
      <c r="H34" s="58">
        <f>IF('Plan ventes'!H13+'Plan ventes'!H36=0,0,(0.5*('Plan ventes'!H24+'Plan ventes'!H44)+'Plan ventes'!H17)/('Plan ventes'!H13+'Plan ventes'!H36))</f>
        <v>6387.0784617695135</v>
      </c>
      <c r="I34" s="58">
        <f>IF('Plan ventes'!I13+'Plan ventes'!I36=0,0,(0.5*('Plan ventes'!I24+'Plan ventes'!I44)+'Plan ventes'!I17)/('Plan ventes'!I13+'Plan ventes'!I36))</f>
        <v>6242.2102775139801</v>
      </c>
      <c r="J34" s="58">
        <f>IF('Plan ventes'!J13+'Plan ventes'!J36=0,0,(0.5*('Plan ventes'!J24+'Plan ventes'!J44)+'Plan ventes'!J17)/('Plan ventes'!J13+'Plan ventes'!J36))</f>
        <v>6118.0150007859474</v>
      </c>
      <c r="K34" s="58">
        <f>IF('Plan ventes'!K13+'Plan ventes'!K36=0,0,(0.5*('Plan ventes'!K24+'Plan ventes'!K44)+'Plan ventes'!K17)/('Plan ventes'!K13+'Plan ventes'!K36))</f>
        <v>6011.2047968488869</v>
      </c>
      <c r="L34" s="58">
        <f>IF('Plan ventes'!L13+'Plan ventes'!L36=0,0,(0.5*('Plan ventes'!L24+'Plan ventes'!L44)+'Plan ventes'!L17)/('Plan ventes'!L13+'Plan ventes'!L36))</f>
        <v>5919.1780769919214</v>
      </c>
      <c r="M34" s="58">
        <f>IF('Plan ventes'!M13+'Plan ventes'!M36=0,0,(0.5*('Plan ventes'!M24+'Plan ventes'!M44)+'Plan ventes'!M17)/('Plan ventes'!M13+'Plan ventes'!M36))</f>
        <v>5839.8500372833623</v>
      </c>
      <c r="N34" s="58">
        <f>IF('Plan ventes'!N13+'Plan ventes'!N36=0,0,(0.5*('Plan ventes'!N24+'Plan ventes'!N44)+'Plan ventes'!N17)/('Plan ventes'!N13+'Plan ventes'!N36))</f>
        <v>6233.2535533517139</v>
      </c>
      <c r="O34" s="58">
        <f>IF('Plan ventes'!O13+'Plan ventes'!O36=0,0,(0.5*('Plan ventes'!O24+'Plan ventes'!O44)+'Plan ventes'!O17)/('Plan ventes'!O13+'Plan ventes'!O36))</f>
        <v>6179.5782861082234</v>
      </c>
      <c r="P34" s="58">
        <f>IF('Plan ventes'!P13+'Plan ventes'!P36=0,0,(0.5*('Plan ventes'!P24+'Plan ventes'!P44)+'Plan ventes'!P17)/('Plan ventes'!P13+'Plan ventes'!P36))</f>
        <v>6134.853151866726</v>
      </c>
      <c r="Q34" s="58">
        <f>IF('Plan ventes'!Q13+'Plan ventes'!Q36=0,0,(0.5*('Plan ventes'!Q24+'Plan ventes'!Q44)+'Plan ventes'!Q17)/('Plan ventes'!Q13+'Plan ventes'!Q36))</f>
        <v>6098.1047848723319</v>
      </c>
      <c r="R34" s="58">
        <f>IF('Plan ventes'!R13+'Plan ventes'!R36=0,0,(0.5*('Plan ventes'!R24+'Plan ventes'!R44)+'Plan ventes'!R17)/('Plan ventes'!R13+'Plan ventes'!R36))</f>
        <v>6068.5177146246269</v>
      </c>
      <c r="S34" s="58">
        <f>IF('Plan ventes'!S13+'Plan ventes'!S36=0,0,(0.5*('Plan ventes'!S24+'Plan ventes'!S44)+'Plan ventes'!S17)/('Plan ventes'!S13+'Plan ventes'!S36))</f>
        <v>6045.4043734532734</v>
      </c>
      <c r="T34" s="58">
        <f>IF('Plan ventes'!T13+'Plan ventes'!T36=0,0,(0.5*('Plan ventes'!T24+'Plan ventes'!T44)+'Plan ventes'!T17)/('Plan ventes'!T13+'Plan ventes'!T36))</f>
        <v>6028.1817126039259</v>
      </c>
      <c r="U34" s="58">
        <f>IF('Plan ventes'!U13+'Plan ventes'!U36=0,0,(0.5*('Plan ventes'!U24+'Plan ventes'!U44)+'Plan ventes'!U17)/('Plan ventes'!U13+'Plan ventes'!U36))</f>
        <v>6016.3527888378449</v>
      </c>
      <c r="V34" s="58">
        <f>IF('Plan ventes'!V13+'Plan ventes'!V36=0,0,(0.5*('Plan ventes'!V24+'Plan ventes'!V44)+'Plan ventes'!V17)/('Plan ventes'!V13+'Plan ventes'!V36))</f>
        <v>6009.4921316940827</v>
      </c>
      <c r="W34" s="58">
        <f>IF('Plan ventes'!W13+'Plan ventes'!W36=0,0,(0.5*('Plan ventes'!W24+'Plan ventes'!W44)+'Plan ventes'!W17)/('Plan ventes'!W13+'Plan ventes'!W36))</f>
        <v>6007.2340163344188</v>
      </c>
      <c r="X34" s="58">
        <f>IF('Plan ventes'!X13+'Plan ventes'!X36=0,0,(0.5*('Plan ventes'!X24+'Plan ventes'!X44)+'Plan ventes'!X17)/('Plan ventes'!X13+'Plan ventes'!X36))</f>
        <v>6009.2629909808629</v>
      </c>
      <c r="Y34" s="58">
        <f>IF('Plan ventes'!Y13+'Plan ventes'!Y36=0,0,(0.5*('Plan ventes'!Y24+'Plan ventes'!Y44)+'Plan ventes'!Y17)/('Plan ventes'!Y13+'Plan ventes'!Y36))</f>
        <v>6015.3061694903645</v>
      </c>
      <c r="Z34" s="58">
        <f>IF('Plan ventes'!Z13+'Plan ventes'!Z36=0,0,(0.5*('Plan ventes'!Z24+'Plan ventes'!Z44)+'Plan ventes'!Z17)/('Plan ventes'!Z13+'Plan ventes'!Z36))</f>
        <v>6507.1370708026543</v>
      </c>
      <c r="AA34" s="58">
        <f>IF('Plan ventes'!AA13+'Plan ventes'!AA36=0,0,(0.5*('Plan ventes'!AA24+'Plan ventes'!AA44)+'Plan ventes'!AA17)/('Plan ventes'!AA13+'Plan ventes'!AA36))</f>
        <v>6268.952751934884</v>
      </c>
      <c r="AB34" s="58">
        <f>IF('Plan ventes'!AB13+'Plan ventes'!AB36=0,0,(0.5*('Plan ventes'!AB24+'Plan ventes'!AB44)+'Plan ventes'!AB17)/('Plan ventes'!AB13+'Plan ventes'!AB36))</f>
        <v>6075.7088532640064</v>
      </c>
      <c r="AC34" s="58">
        <f>IF('Plan ventes'!AC13+'Plan ventes'!AC36=0,0,(0.5*('Plan ventes'!AC24+'Plan ventes'!AC44)+'Plan ventes'!AC17)/('Plan ventes'!AC13+'Plan ventes'!AC36))</f>
        <v>5917.111988079886</v>
      </c>
      <c r="AD34" s="58">
        <f>IF('Plan ventes'!AD13+'Plan ventes'!AD36=0,0,(0.5*('Plan ventes'!AD24+'Plan ventes'!AD44)+'Plan ventes'!AD17)/('Plan ventes'!AD13+'Plan ventes'!AD36))</f>
        <v>5785.83861333818</v>
      </c>
      <c r="AE34" s="58">
        <f>IF('Plan ventes'!AE13+'Plan ventes'!AE36=0,0,(0.5*('Plan ventes'!AE24+'Plan ventes'!AE44)+'Plan ventes'!AE17)/('Plan ventes'!AE13+'Plan ventes'!AE36))</f>
        <v>5676.5377160210646</v>
      </c>
      <c r="AF34" s="58">
        <f>IF('Plan ventes'!AF13+'Plan ventes'!AF36=0,0,(0.5*('Plan ventes'!AF24+'Plan ventes'!AF44)+'Plan ventes'!AF17)/('Plan ventes'!AF13+'Plan ventes'!AF36))</f>
        <v>5585.2101525416028</v>
      </c>
      <c r="AG34" s="58">
        <f>IF('Plan ventes'!AG13+'Plan ventes'!AG36=0,0,(0.5*('Plan ventes'!AG24+'Plan ventes'!AG44)+'Plan ventes'!AG17)/('Plan ventes'!AG13+'Plan ventes'!AG36))</f>
        <v>5508.8085124148347</v>
      </c>
      <c r="AH34" s="58">
        <f>IF('Plan ventes'!AH13+'Plan ventes'!AH36=0,0,(0.5*('Plan ventes'!AH24+'Plan ventes'!AH44)+'Plan ventes'!AH17)/('Plan ventes'!AH13+'Plan ventes'!AH36))</f>
        <v>5444.9712057864044</v>
      </c>
      <c r="AI34" s="58">
        <f>IF('Plan ventes'!AI13+'Plan ventes'!AI36=0,0,(0.5*('Plan ventes'!AI24+'Plan ventes'!AI44)+'Plan ventes'!AI17)/('Plan ventes'!AI13+'Plan ventes'!AI36))</f>
        <v>5391.8410285450618</v>
      </c>
      <c r="AJ34" s="58">
        <f>IF('Plan ventes'!AJ13+'Plan ventes'!AJ36=0,0,(0.5*('Plan ventes'!AJ24+'Plan ventes'!AJ44)+'Plan ventes'!AJ17)/('Plan ventes'!AJ13+'Plan ventes'!AJ36))</f>
        <v>5347.9384701750314</v>
      </c>
      <c r="AK34" s="58">
        <f>IF('Plan ventes'!AK13+'Plan ventes'!AK36=0,0,(0.5*('Plan ventes'!AK24+'Plan ventes'!AK44)+'Plan ventes'!AK17)/('Plan ventes'!AK13+'Plan ventes'!AK36))</f>
        <v>5312.0714182692091</v>
      </c>
    </row>
    <row r="35" spans="1:37" x14ac:dyDescent="0.2">
      <c r="A35" s="39" t="s">
        <v>559</v>
      </c>
      <c r="B35" s="45">
        <f>MIN(36,IF(Parametres!$D$84=0,36,1/Parametres!$D$84))</f>
        <v>33.333333333333336</v>
      </c>
      <c r="C35" s="45">
        <f>MIN(36,IF(Parametres!$D$84=0,36,1/Parametres!$D$84))</f>
        <v>33.333333333333336</v>
      </c>
      <c r="D35" s="45">
        <f>MIN(36,IF(Parametres!$D$84=0,36,1/Parametres!$D$84))</f>
        <v>33.333333333333336</v>
      </c>
      <c r="E35" s="45">
        <f>MIN(36,IF(Parametres!$D$84=0,36,1/Parametres!$D$84))</f>
        <v>33.333333333333336</v>
      </c>
      <c r="F35" s="45">
        <f>MIN(36,IF(Parametres!$D$84=0,36,1/Parametres!$D$84))</f>
        <v>33.333333333333336</v>
      </c>
      <c r="G35" s="45">
        <f>MIN(36,IF(Parametres!$D$84=0,36,1/Parametres!$D$84))</f>
        <v>33.333333333333336</v>
      </c>
      <c r="H35" s="45">
        <f>MIN(36,IF(Parametres!$D$84=0,36,1/Parametres!$D$84))</f>
        <v>33.333333333333336</v>
      </c>
      <c r="I35" s="45">
        <f>MIN(36,IF(Parametres!$D$84=0,36,1/Parametres!$D$84))</f>
        <v>33.333333333333336</v>
      </c>
      <c r="J35" s="45">
        <f>MIN(36,IF(Parametres!$D$84=0,36,1/Parametres!$D$84))</f>
        <v>33.333333333333336</v>
      </c>
      <c r="K35" s="45">
        <f>MIN(36,IF(Parametres!$D$84=0,36,1/Parametres!$D$84))</f>
        <v>33.333333333333336</v>
      </c>
      <c r="L35" s="45">
        <f>MIN(36,IF(Parametres!$D$84=0,36,1/Parametres!$D$84))</f>
        <v>33.333333333333336</v>
      </c>
      <c r="M35" s="45">
        <f>MIN(36,IF(Parametres!$D$84=0,36,1/Parametres!$D$84))</f>
        <v>33.333333333333336</v>
      </c>
      <c r="N35" s="45">
        <f>MIN(36,IF(Parametres!$D$84=0,36,1/Parametres!$D$84))</f>
        <v>33.333333333333336</v>
      </c>
      <c r="O35" s="45">
        <f>MIN(36,IF(Parametres!$D$84=0,36,1/Parametres!$D$84))</f>
        <v>33.333333333333336</v>
      </c>
      <c r="P35" s="45">
        <f>MIN(36,IF(Parametres!$D$84=0,36,1/Parametres!$D$84))</f>
        <v>33.333333333333336</v>
      </c>
      <c r="Q35" s="45">
        <f>MIN(36,IF(Parametres!$D$84=0,36,1/Parametres!$D$84))</f>
        <v>33.333333333333336</v>
      </c>
      <c r="R35" s="45">
        <f>MIN(36,IF(Parametres!$D$84=0,36,1/Parametres!$D$84))</f>
        <v>33.333333333333336</v>
      </c>
      <c r="S35" s="45">
        <f>MIN(36,IF(Parametres!$D$84=0,36,1/Parametres!$D$84))</f>
        <v>33.333333333333336</v>
      </c>
      <c r="T35" s="45">
        <f>MIN(36,IF(Parametres!$D$84=0,36,1/Parametres!$D$84))</f>
        <v>33.333333333333336</v>
      </c>
      <c r="U35" s="45">
        <f>MIN(36,IF(Parametres!$D$84=0,36,1/Parametres!$D$84))</f>
        <v>33.333333333333336</v>
      </c>
      <c r="V35" s="45">
        <f>MIN(36,IF(Parametres!$D$84=0,36,1/Parametres!$D$84))</f>
        <v>33.333333333333336</v>
      </c>
      <c r="W35" s="45">
        <f>MIN(36,IF(Parametres!$D$84=0,36,1/Parametres!$D$84))</f>
        <v>33.333333333333336</v>
      </c>
      <c r="X35" s="45">
        <f>MIN(36,IF(Parametres!$D$84=0,36,1/Parametres!$D$84))</f>
        <v>33.333333333333336</v>
      </c>
      <c r="Y35" s="45">
        <f>MIN(36,IF(Parametres!$D$84=0,36,1/Parametres!$D$84))</f>
        <v>33.333333333333336</v>
      </c>
      <c r="Z35" s="45">
        <f>MIN(36,IF(Parametres!$D$84=0,36,1/Parametres!$D$84))</f>
        <v>33.333333333333336</v>
      </c>
      <c r="AA35" s="45">
        <f>MIN(36,IF(Parametres!$D$84=0,36,1/Parametres!$D$84))</f>
        <v>33.333333333333336</v>
      </c>
      <c r="AB35" s="45">
        <f>MIN(36,IF(Parametres!$D$84=0,36,1/Parametres!$D$84))</f>
        <v>33.333333333333336</v>
      </c>
      <c r="AC35" s="45">
        <f>MIN(36,IF(Parametres!$D$84=0,36,1/Parametres!$D$84))</f>
        <v>33.333333333333336</v>
      </c>
      <c r="AD35" s="45">
        <f>MIN(36,IF(Parametres!$D$84=0,36,1/Parametres!$D$84))</f>
        <v>33.333333333333336</v>
      </c>
      <c r="AE35" s="45">
        <f>MIN(36,IF(Parametres!$D$84=0,36,1/Parametres!$D$84))</f>
        <v>33.333333333333336</v>
      </c>
      <c r="AF35" s="45">
        <f>MIN(36,IF(Parametres!$D$84=0,36,1/Parametres!$D$84))</f>
        <v>33.333333333333336</v>
      </c>
      <c r="AG35" s="45">
        <f>MIN(36,IF(Parametres!$D$84=0,36,1/Parametres!$D$84))</f>
        <v>33.333333333333336</v>
      </c>
      <c r="AH35" s="45">
        <f>MIN(36,IF(Parametres!$D$84=0,36,1/Parametres!$D$84))</f>
        <v>33.333333333333336</v>
      </c>
      <c r="AI35" s="45">
        <f>MIN(36,IF(Parametres!$D$84=0,36,1/Parametres!$D$84))</f>
        <v>33.333333333333336</v>
      </c>
      <c r="AJ35" s="45">
        <f>MIN(36,IF(Parametres!$D$84=0,36,1/Parametres!$D$84))</f>
        <v>33.333333333333336</v>
      </c>
      <c r="AK35" s="45">
        <f>MIN(36,IF(Parametres!$D$84=0,36,1/Parametres!$D$84))</f>
        <v>33.333333333333336</v>
      </c>
    </row>
    <row r="36" spans="1:37" x14ac:dyDescent="0.2">
      <c r="A36" s="39" t="s">
        <v>560</v>
      </c>
      <c r="B36" s="66">
        <f t="shared" ref="B36:AK36" si="4">B34*B35</f>
        <v>241969.69696969699</v>
      </c>
      <c r="C36" s="66">
        <f t="shared" si="4"/>
        <v>229497.74868384592</v>
      </c>
      <c r="D36" s="66">
        <f t="shared" si="4"/>
        <v>219386.2931856956</v>
      </c>
      <c r="E36" s="66">
        <f t="shared" si="4"/>
        <v>211060.97559521292</v>
      </c>
      <c r="F36" s="66">
        <f t="shared" si="4"/>
        <v>204121.05460559929</v>
      </c>
      <c r="G36" s="66">
        <f t="shared" si="4"/>
        <v>198278.44713189578</v>
      </c>
      <c r="H36" s="66">
        <f t="shared" si="4"/>
        <v>212902.61539231712</v>
      </c>
      <c r="I36" s="66">
        <f t="shared" si="4"/>
        <v>208073.6759171327</v>
      </c>
      <c r="J36" s="66">
        <f t="shared" si="4"/>
        <v>203933.83335953159</v>
      </c>
      <c r="K36" s="66">
        <f t="shared" si="4"/>
        <v>200373.49322829625</v>
      </c>
      <c r="L36" s="66">
        <f t="shared" si="4"/>
        <v>197305.93589973074</v>
      </c>
      <c r="M36" s="66">
        <f t="shared" si="4"/>
        <v>194661.66790944542</v>
      </c>
      <c r="N36" s="66">
        <f t="shared" si="4"/>
        <v>207775.11844505713</v>
      </c>
      <c r="O36" s="66">
        <f t="shared" si="4"/>
        <v>205985.94287027413</v>
      </c>
      <c r="P36" s="66">
        <f t="shared" si="4"/>
        <v>204495.1050622242</v>
      </c>
      <c r="Q36" s="66">
        <f t="shared" si="4"/>
        <v>203270.15949574442</v>
      </c>
      <c r="R36" s="66">
        <f t="shared" si="4"/>
        <v>202283.9238208209</v>
      </c>
      <c r="S36" s="66">
        <f t="shared" si="4"/>
        <v>201513.47911510913</v>
      </c>
      <c r="T36" s="66">
        <f t="shared" si="4"/>
        <v>200939.39042013089</v>
      </c>
      <c r="U36" s="66">
        <f t="shared" si="4"/>
        <v>200545.09296126151</v>
      </c>
      <c r="V36" s="66">
        <f t="shared" si="4"/>
        <v>200316.40438980277</v>
      </c>
      <c r="W36" s="66">
        <f t="shared" si="4"/>
        <v>200241.13387781396</v>
      </c>
      <c r="X36" s="66">
        <f t="shared" si="4"/>
        <v>200308.76636602878</v>
      </c>
      <c r="Y36" s="66">
        <f t="shared" si="4"/>
        <v>200510.20564967883</v>
      </c>
      <c r="Z36" s="66">
        <f t="shared" si="4"/>
        <v>216904.56902675517</v>
      </c>
      <c r="AA36" s="66">
        <f t="shared" si="4"/>
        <v>208965.0917311628</v>
      </c>
      <c r="AB36" s="66">
        <f t="shared" si="4"/>
        <v>202523.62844213357</v>
      </c>
      <c r="AC36" s="66">
        <f t="shared" si="4"/>
        <v>197237.06626932955</v>
      </c>
      <c r="AD36" s="66">
        <f t="shared" si="4"/>
        <v>192861.28711127269</v>
      </c>
      <c r="AE36" s="66">
        <f t="shared" si="4"/>
        <v>189217.92386736884</v>
      </c>
      <c r="AF36" s="66">
        <f t="shared" si="4"/>
        <v>186173.67175138678</v>
      </c>
      <c r="AG36" s="66">
        <f t="shared" si="4"/>
        <v>183626.95041382784</v>
      </c>
      <c r="AH36" s="66">
        <f t="shared" si="4"/>
        <v>181499.04019288017</v>
      </c>
      <c r="AI36" s="66">
        <f t="shared" si="4"/>
        <v>179728.03428483542</v>
      </c>
      <c r="AJ36" s="66">
        <f t="shared" si="4"/>
        <v>178264.61567250107</v>
      </c>
      <c r="AK36" s="66">
        <f t="shared" si="4"/>
        <v>177069.0472756403</v>
      </c>
    </row>
    <row r="37" spans="1:37" x14ac:dyDescent="0.2">
      <c r="A37" s="39" t="s">
        <v>561</v>
      </c>
      <c r="B37" s="58">
        <f>IF(B28=0,0,('Plan ventes'!B27*'Plan ventes'!B30*MIN(36,IF(Parametres!$D$25=0,36,1/Parametres!$D$25))+'Plan ventes'!B65*0.5*IF('Plan ventes'!B64=0,0,'Plan ventes'!B62/'Plan ventes'!B64)*Parametres!$D$73*Parametres!$D$74)/B28)</f>
        <v>1142449.0099009902</v>
      </c>
      <c r="C37" s="58">
        <f>IF(C28=0,0,('Plan ventes'!C27*'Plan ventes'!C30*MIN(36,IF(Parametres!$D$25=0,36,1/Parametres!$D$25))+'Plan ventes'!C65*0.5*IF('Plan ventes'!C64=0,0,'Plan ventes'!C62/'Plan ventes'!C64)*Parametres!$D$73*Parametres!$D$74)/C28)</f>
        <v>158474.54845222074</v>
      </c>
      <c r="D37" s="58">
        <f>IF(D28=0,0,('Plan ventes'!D27*'Plan ventes'!D30*MIN(36,IF(Parametres!$D$25=0,36,1/Parametres!$D$25))+'Plan ventes'!D65*0.5*IF('Plan ventes'!D64=0,0,'Plan ventes'!D62/'Plan ventes'!D64)*Parametres!$D$73*Parametres!$D$74)/D28)</f>
        <v>162841.59808153007</v>
      </c>
      <c r="E37" s="58">
        <f>IF(E28=0,0,('Plan ventes'!E27*'Plan ventes'!E30*MIN(36,IF(Parametres!$D$25=0,36,1/Parametres!$D$25))+'Plan ventes'!E65*0.5*IF('Plan ventes'!E64=0,0,'Plan ventes'!E62/'Plan ventes'!E64)*Parametres!$D$73*Parametres!$D$74)/E28)</f>
        <v>167321.9813397525</v>
      </c>
      <c r="F37" s="58">
        <f>IF(F28=0,0,('Plan ventes'!F27*'Plan ventes'!F30*MIN(36,IF(Parametres!$D$25=0,36,1/Parametres!$D$25))+'Plan ventes'!F65*0.5*IF('Plan ventes'!F64=0,0,'Plan ventes'!F62/'Plan ventes'!F64)*Parametres!$D$73*Parametres!$D$74)/F28)</f>
        <v>171918.09700524044</v>
      </c>
      <c r="G37" s="58">
        <f>IF(G28=0,0,('Plan ventes'!G27*'Plan ventes'!G30*MIN(36,IF(Parametres!$D$25=0,36,1/Parametres!$D$25))+'Plan ventes'!G65*0.5*IF('Plan ventes'!G64=0,0,'Plan ventes'!G62/'Plan ventes'!G64)*Parametres!$D$73*Parametres!$D$74)/G28)</f>
        <v>176632.36407878585</v>
      </c>
      <c r="H37" s="58">
        <f>IF(H28=0,0,('Plan ventes'!H27*'Plan ventes'!H30*MIN(36,IF(Parametres!$D$25=0,36,1/Parametres!$D$25))+'Plan ventes'!H65*0.5*IF('Plan ventes'!H64=0,0,'Plan ventes'!H62/'Plan ventes'!H64)*Parametres!$D$73*Parametres!$D$74)/H28)</f>
        <v>181944.59906791055</v>
      </c>
      <c r="I37" s="58">
        <f>IF(I28=0,0,('Plan ventes'!I27*'Plan ventes'!I30*MIN(36,IF(Parametres!$D$25=0,36,1/Parametres!$D$25))+'Plan ventes'!I65*0.5*IF('Plan ventes'!I64=0,0,'Plan ventes'!I62/'Plan ventes'!I64)*Parametres!$D$73*Parametres!$D$74)/I28)</f>
        <v>186901.78807215122</v>
      </c>
      <c r="J37" s="58">
        <f>IF(J28=0,0,('Plan ventes'!J27*'Plan ventes'!J30*MIN(36,IF(Parametres!$D$25=0,36,1/Parametres!$D$25))+'Plan ventes'!J65*0.5*IF('Plan ventes'!J64=0,0,'Plan ventes'!J62/'Plan ventes'!J64)*Parametres!$D$73*Parametres!$D$74)/J28)</f>
        <v>191984.4578195455</v>
      </c>
      <c r="K37" s="58">
        <f>IF(K28=0,0,('Plan ventes'!K27*'Plan ventes'!K30*MIN(36,IF(Parametres!$D$25=0,36,1/Parametres!$D$25))+'Plan ventes'!K65*0.5*IF('Plan ventes'!K64=0,0,'Plan ventes'!K62/'Plan ventes'!K64)*Parametres!$D$73*Parametres!$D$74)/K28)</f>
        <v>197195.0889753334</v>
      </c>
      <c r="L37" s="58">
        <f>IF(L28=0,0,('Plan ventes'!L27*'Plan ventes'!L30*MIN(36,IF(Parametres!$D$25=0,36,1/Parametres!$D$25))+'Plan ventes'!L65*0.5*IF('Plan ventes'!L64=0,0,'Plan ventes'!L62/'Plan ventes'!L64)*Parametres!$D$73*Parametres!$D$74)/L28)</f>
        <v>202536.17243882464</v>
      </c>
      <c r="M37" s="58">
        <f>IF(M28=0,0,('Plan ventes'!M27*'Plan ventes'!M30*MIN(36,IF(Parametres!$D$25=0,36,1/Parametres!$D$25))+'Plan ventes'!M65*0.5*IF('Plan ventes'!M64=0,0,'Plan ventes'!M62/'Plan ventes'!M64)*Parametres!$D$73*Parametres!$D$74)/M28)</f>
        <v>208010.20692238168</v>
      </c>
      <c r="N37" s="58">
        <f>IF(N28=0,0,('Plan ventes'!N27*'Plan ventes'!N30*MIN(36,IF(Parametres!$D$25=0,36,1/Parametres!$D$25))+'Plan ventes'!N65*0.5*IF('Plan ventes'!N64=0,0,'Plan ventes'!N62/'Plan ventes'!N64)*Parametres!$D$73*Parametres!$D$74)/N28)</f>
        <v>203024.3640662542</v>
      </c>
      <c r="O37" s="58">
        <f>IF(O28=0,0,('Plan ventes'!O27*'Plan ventes'!O30*MIN(36,IF(Parametres!$D$25=0,36,1/Parametres!$D$25))+'Plan ventes'!O65*0.5*IF('Plan ventes'!O64=0,0,'Plan ventes'!O62/'Plan ventes'!O64)*Parametres!$D$73*Parametres!$D$74)/O28)</f>
        <v>219805.88516539213</v>
      </c>
      <c r="P37" s="58">
        <f>IF(P28=0,0,('Plan ventes'!P27*'Plan ventes'!P30*MIN(36,IF(Parametres!$D$25=0,36,1/Parametres!$D$25))+'Plan ventes'!P65*0.5*IF('Plan ventes'!P64=0,0,'Plan ventes'!P62/'Plan ventes'!P64)*Parametres!$D$73*Parametres!$D$74)/P28)</f>
        <v>224358.53443421749</v>
      </c>
      <c r="Q37" s="58">
        <f>IF(Q28=0,0,('Plan ventes'!Q27*'Plan ventes'!Q30*MIN(36,IF(Parametres!$D$25=0,36,1/Parametres!$D$25))+'Plan ventes'!Q65*0.5*IF('Plan ventes'!Q64=0,0,'Plan ventes'!Q62/'Plan ventes'!Q64)*Parametres!$D$73*Parametres!$D$74)/Q28)</f>
        <v>228996.27008848247</v>
      </c>
      <c r="R37" s="58">
        <f>IF(R28=0,0,('Plan ventes'!R27*'Plan ventes'!R30*MIN(36,IF(Parametres!$D$25=0,36,1/Parametres!$D$25))+'Plan ventes'!R65*0.5*IF('Plan ventes'!R64=0,0,'Plan ventes'!R62/'Plan ventes'!R64)*Parametres!$D$73*Parametres!$D$74)/R28)</f>
        <v>233720.25998058077</v>
      </c>
      <c r="S37" s="58">
        <f>IF(S28=0,0,('Plan ventes'!S27*'Plan ventes'!S30*MIN(36,IF(Parametres!$D$25=0,36,1/Parametres!$D$25))+'Plan ventes'!S65*0.5*IF('Plan ventes'!S64=0,0,'Plan ventes'!S62/'Plan ventes'!S64)*Parametres!$D$73*Parametres!$D$74)/S28)</f>
        <v>238531.67081772271</v>
      </c>
      <c r="T37" s="58">
        <f>IF(T28=0,0,('Plan ventes'!T27*'Plan ventes'!T30*MIN(36,IF(Parametres!$D$25=0,36,1/Parametres!$D$25))+'Plan ventes'!T65*0.5*IF('Plan ventes'!T64=0,0,'Plan ventes'!T62/'Plan ventes'!T64)*Parametres!$D$73*Parametres!$D$74)/T28)</f>
        <v>243431.66732108599</v>
      </c>
      <c r="U37" s="58">
        <f>IF(U28=0,0,('Plan ventes'!U27*'Plan ventes'!U30*MIN(36,IF(Parametres!$D$25=0,36,1/Parametres!$D$25))+'Plan ventes'!U65*0.5*IF('Plan ventes'!U64=0,0,'Plan ventes'!U62/'Plan ventes'!U64)*Parametres!$D$73*Parametres!$D$74)/U28)</f>
        <v>248421.4113523202</v>
      </c>
      <c r="V37" s="58">
        <f>IF(V28=0,0,('Plan ventes'!V27*'Plan ventes'!V30*MIN(36,IF(Parametres!$D$25=0,36,1/Parametres!$D$25))+'Plan ventes'!V65*0.5*IF('Plan ventes'!V64=0,0,'Plan ventes'!V62/'Plan ventes'!V64)*Parametres!$D$73*Parametres!$D$74)/V28)</f>
        <v>253502.06100711471</v>
      </c>
      <c r="W37" s="58">
        <f>IF(W28=0,0,('Plan ventes'!W27*'Plan ventes'!W30*MIN(36,IF(Parametres!$D$25=0,36,1/Parametres!$D$25))+'Plan ventes'!W65*0.5*IF('Plan ventes'!W64=0,0,'Plan ventes'!W62/'Plan ventes'!W64)*Parametres!$D$73*Parametres!$D$74)/W28)</f>
        <v>258674.76967557051</v>
      </c>
      <c r="X37" s="58">
        <f>IF(X28=0,0,('Plan ventes'!X27*'Plan ventes'!X30*MIN(36,IF(Parametres!$D$25=0,36,1/Parametres!$D$25))+'Plan ventes'!X65*0.5*IF('Plan ventes'!X64=0,0,'Plan ventes'!X62/'Plan ventes'!X64)*Parametres!$D$73*Parametres!$D$74)/X28)</f>
        <v>263940.68506918417</v>
      </c>
      <c r="Y37" s="58">
        <f>IF(Y28=0,0,('Plan ventes'!Y27*'Plan ventes'!Y30*MIN(36,IF(Parametres!$D$25=0,36,1/Parametres!$D$25))+'Plan ventes'!Y65*0.5*IF('Plan ventes'!Y64=0,0,'Plan ventes'!Y62/'Plan ventes'!Y64)*Parametres!$D$73*Parametres!$D$74)/Y28)</f>
        <v>269300.94821430626</v>
      </c>
      <c r="Z37" s="58">
        <f>IF(Z28=0,0,('Plan ventes'!Z27*'Plan ventes'!Z30*MIN(36,IF(Parametres!$D$25=0,36,1/Parametres!$D$25))+'Plan ventes'!Z65*0.5*IF('Plan ventes'!Z64=0,0,'Plan ventes'!Z62/'Plan ventes'!Z64)*Parametres!$D$73*Parametres!$D$74)/Z28)</f>
        <v>254347.67029627893</v>
      </c>
      <c r="AA37" s="58">
        <f>IF(AA28=0,0,('Plan ventes'!AA27*'Plan ventes'!AA30*MIN(36,IF(Parametres!$D$25=0,36,1/Parametres!$D$25))+'Plan ventes'!AA65*0.5*IF('Plan ventes'!AA64=0,0,'Plan ventes'!AA62/'Plan ventes'!AA64)*Parametres!$D$73*Parametres!$D$74)/AA28)</f>
        <v>269032.92627430672</v>
      </c>
      <c r="AB37" s="58">
        <f>IF(AB28=0,0,('Plan ventes'!AB27*'Plan ventes'!AB30*MIN(36,IF(Parametres!$D$25=0,36,1/Parametres!$D$25))+'Plan ventes'!AB65*0.5*IF('Plan ventes'!AB64=0,0,'Plan ventes'!AB62/'Plan ventes'!AB64)*Parametres!$D$73*Parametres!$D$74)/AB28)</f>
        <v>272169.45292466308</v>
      </c>
      <c r="AC37" s="58">
        <f>IF(AC28=0,0,('Plan ventes'!AC27*'Plan ventes'!AC30*MIN(36,IF(Parametres!$D$25=0,36,1/Parametres!$D$25))+'Plan ventes'!AC65*0.5*IF('Plan ventes'!AC64=0,0,'Plan ventes'!AC62/'Plan ventes'!AC64)*Parametres!$D$73*Parametres!$D$74)/AC28)</f>
        <v>275335.7865053101</v>
      </c>
      <c r="AD37" s="58">
        <f>IF(AD28=0,0,('Plan ventes'!AD27*'Plan ventes'!AD30*MIN(36,IF(Parametres!$D$25=0,36,1/Parametres!$D$25))+'Plan ventes'!AD65*0.5*IF('Plan ventes'!AD64=0,0,'Plan ventes'!AD62/'Plan ventes'!AD64)*Parametres!$D$73*Parametres!$D$74)/AD28)</f>
        <v>278532.10759333905</v>
      </c>
      <c r="AE37" s="58">
        <f>IF(AE28=0,0,('Plan ventes'!AE27*'Plan ventes'!AE30*MIN(36,IF(Parametres!$D$25=0,36,1/Parametres!$D$25))+'Plan ventes'!AE65*0.5*IF('Plan ventes'!AE64=0,0,'Plan ventes'!AE62/'Plan ventes'!AE64)*Parametres!$D$73*Parametres!$D$74)/AE28)</f>
        <v>281758.59595328645</v>
      </c>
      <c r="AF37" s="58">
        <f>IF(AF28=0,0,('Plan ventes'!AF27*'Plan ventes'!AF30*MIN(36,IF(Parametres!$D$25=0,36,1/Parametres!$D$25))+'Plan ventes'!AF65*0.5*IF('Plan ventes'!AF64=0,0,'Plan ventes'!AF62/'Plan ventes'!AF64)*Parametres!$D$73*Parametres!$D$74)/AF28)</f>
        <v>285015.43048625684</v>
      </c>
      <c r="AG37" s="58">
        <f>IF(AG28=0,0,('Plan ventes'!AG27*'Plan ventes'!AG30*MIN(36,IF(Parametres!$D$25=0,36,1/Parametres!$D$25))+'Plan ventes'!AG65*0.5*IF('Plan ventes'!AG64=0,0,'Plan ventes'!AG62/'Plan ventes'!AG64)*Parametres!$D$73*Parametres!$D$74)/AG28)</f>
        <v>288302.78917821858</v>
      </c>
      <c r="AH37" s="58">
        <f>IF(AH28=0,0,('Plan ventes'!AH27*'Plan ventes'!AH30*MIN(36,IF(Parametres!$D$25=0,36,1/Parametres!$D$25))+'Plan ventes'!AH65*0.5*IF('Plan ventes'!AH64=0,0,'Plan ventes'!AH62/'Plan ventes'!AH64)*Parametres!$D$73*Parametres!$D$74)/AH28)</f>
        <v>291620.84904745128</v>
      </c>
      <c r="AI37" s="58">
        <f>IF(AI28=0,0,('Plan ventes'!AI27*'Plan ventes'!AI30*MIN(36,IF(Parametres!$D$25=0,36,1/Parametres!$D$25))+'Plan ventes'!AI65*0.5*IF('Plan ventes'!AI64=0,0,'Plan ventes'!AI62/'Plan ventes'!AI64)*Parametres!$D$73*Parametres!$D$74)/AI28)</f>
        <v>294969.78609116358</v>
      </c>
      <c r="AJ37" s="58">
        <f>IF(AJ28=0,0,('Plan ventes'!AJ27*'Plan ventes'!AJ30*MIN(36,IF(Parametres!$D$25=0,36,1/Parametres!$D$25))+'Plan ventes'!AJ65*0.5*IF('Plan ventes'!AJ64=0,0,'Plan ventes'!AJ62/'Plan ventes'!AJ64)*Parametres!$D$73*Parametres!$D$74)/AJ28)</f>
        <v>298349.77523127483</v>
      </c>
      <c r="AK37" s="58">
        <f>IF(AK28=0,0,('Plan ventes'!AK27*'Plan ventes'!AK30*MIN(36,IF(Parametres!$D$25=0,36,1/Parametres!$D$25))+'Plan ventes'!AK65*0.5*IF('Plan ventes'!AK64=0,0,'Plan ventes'!AK62/'Plan ventes'!AK64)*Parametres!$D$73*Parametres!$D$74)/AK28)</f>
        <v>301760.99025937088</v>
      </c>
    </row>
    <row r="38" spans="1:37" x14ac:dyDescent="0.2">
      <c r="A38" s="39" t="s">
        <v>562</v>
      </c>
      <c r="B38" s="69">
        <f t="shared" ref="B38:AK38" si="5">IF(B32=0,0,B36/B32)</f>
        <v>34.875087351502451</v>
      </c>
      <c r="C38" s="69">
        <f t="shared" si="5"/>
        <v>4.0093946310944428</v>
      </c>
      <c r="D38" s="69">
        <f t="shared" si="5"/>
        <v>3.8327444651589029</v>
      </c>
      <c r="E38" s="69">
        <f t="shared" si="5"/>
        <v>3.6872986651854109</v>
      </c>
      <c r="F38" s="69">
        <f t="shared" si="5"/>
        <v>3.5660561601257736</v>
      </c>
      <c r="G38" s="69">
        <f t="shared" si="5"/>
        <v>3.4639840519199123</v>
      </c>
      <c r="H38" s="69">
        <f t="shared" si="5"/>
        <v>3.7194726658336323</v>
      </c>
      <c r="I38" s="69">
        <f t="shared" si="5"/>
        <v>3.6351096421581532</v>
      </c>
      <c r="J38" s="69">
        <f t="shared" si="5"/>
        <v>3.5627853486990144</v>
      </c>
      <c r="K38" s="69">
        <f t="shared" si="5"/>
        <v>3.5005851367626879</v>
      </c>
      <c r="L38" s="69">
        <f t="shared" si="5"/>
        <v>3.4469939884648975</v>
      </c>
      <c r="M38" s="69">
        <f t="shared" si="5"/>
        <v>3.4007978321007237</v>
      </c>
      <c r="N38" s="69">
        <f t="shared" si="5"/>
        <v>3.1048655459876557</v>
      </c>
      <c r="O38" s="69">
        <f t="shared" si="5"/>
        <v>3.0781291896835907</v>
      </c>
      <c r="P38" s="69">
        <f t="shared" si="5"/>
        <v>3.0558510122987754</v>
      </c>
      <c r="Q38" s="69">
        <f t="shared" si="5"/>
        <v>3.0375461675534736</v>
      </c>
      <c r="R38" s="69">
        <f t="shared" si="5"/>
        <v>3.0228084588701138</v>
      </c>
      <c r="S38" s="69">
        <f t="shared" si="5"/>
        <v>3.0112953997523753</v>
      </c>
      <c r="T38" s="69">
        <f t="shared" si="5"/>
        <v>3.0027165659501445</v>
      </c>
      <c r="U38" s="69">
        <f t="shared" si="5"/>
        <v>2.9968244235026948</v>
      </c>
      <c r="V38" s="69">
        <f t="shared" si="5"/>
        <v>2.9934070399795991</v>
      </c>
      <c r="W38" s="69">
        <f t="shared" si="5"/>
        <v>2.9922822430306097</v>
      </c>
      <c r="X38" s="69">
        <f t="shared" si="5"/>
        <v>2.9932929019777403</v>
      </c>
      <c r="Y38" s="69">
        <f t="shared" si="5"/>
        <v>2.9963030886453939</v>
      </c>
      <c r="Z38" s="69">
        <f t="shared" si="5"/>
        <v>2.8252812173680408</v>
      </c>
      <c r="AA38" s="69">
        <f t="shared" si="5"/>
        <v>6.8046647357716559</v>
      </c>
      <c r="AB38" s="69">
        <f t="shared" si="5"/>
        <v>6.5949072220812086</v>
      </c>
      <c r="AC38" s="69">
        <f t="shared" si="5"/>
        <v>6.4227574965326744</v>
      </c>
      <c r="AD38" s="69">
        <f t="shared" si="5"/>
        <v>6.2802661843155079</v>
      </c>
      <c r="AE38" s="69">
        <f t="shared" si="5"/>
        <v>6.161625002766896</v>
      </c>
      <c r="AF38" s="69">
        <f t="shared" si="5"/>
        <v>6.0624930623609279</v>
      </c>
      <c r="AG38" s="69">
        <f t="shared" si="5"/>
        <v>5.9795625368173626</v>
      </c>
      <c r="AH38" s="69">
        <f t="shared" si="5"/>
        <v>5.9102700271382869</v>
      </c>
      <c r="AI38" s="69">
        <f t="shared" si="5"/>
        <v>5.8525996222420495</v>
      </c>
      <c r="AJ38" s="69">
        <f t="shared" si="5"/>
        <v>5.8049453803659254</v>
      </c>
      <c r="AK38" s="69">
        <f t="shared" si="5"/>
        <v>5.7660133173982606</v>
      </c>
    </row>
    <row r="39" spans="1:37" x14ac:dyDescent="0.2">
      <c r="A39" s="39" t="s">
        <v>563</v>
      </c>
      <c r="B39" s="69">
        <f t="shared" ref="B39:AK39" si="6">IF(B33=0,0,B37/B33)</f>
        <v>64.79523247978436</v>
      </c>
      <c r="C39" s="69">
        <f t="shared" si="6"/>
        <v>4.9590039378369273</v>
      </c>
      <c r="D39" s="69">
        <f t="shared" si="6"/>
        <v>5.20367788413916</v>
      </c>
      <c r="E39" s="69">
        <f t="shared" si="6"/>
        <v>5.4605219476102675</v>
      </c>
      <c r="F39" s="69">
        <f t="shared" si="6"/>
        <v>5.7301433951793417</v>
      </c>
      <c r="G39" s="69">
        <f t="shared" si="6"/>
        <v>6.0131798328964301</v>
      </c>
      <c r="H39" s="69">
        <f t="shared" si="6"/>
        <v>6.3269009939239433</v>
      </c>
      <c r="I39" s="69">
        <f t="shared" si="6"/>
        <v>6.6391412502209342</v>
      </c>
      <c r="J39" s="69">
        <f t="shared" si="6"/>
        <v>6.9669135373244364</v>
      </c>
      <c r="K39" s="69">
        <f t="shared" si="6"/>
        <v>7.3109928926696481</v>
      </c>
      <c r="L39" s="69">
        <f t="shared" si="6"/>
        <v>7.6721930748833627</v>
      </c>
      <c r="M39" s="69">
        <f t="shared" si="6"/>
        <v>8.0513684992402066</v>
      </c>
      <c r="N39" s="69">
        <f t="shared" si="6"/>
        <v>6.7833635260129901</v>
      </c>
      <c r="O39" s="69">
        <f t="shared" si="6"/>
        <v>7.5540160065647077</v>
      </c>
      <c r="P39" s="69">
        <f t="shared" si="6"/>
        <v>7.8885590513546289</v>
      </c>
      <c r="Q39" s="69">
        <f t="shared" si="6"/>
        <v>8.2379924283937971</v>
      </c>
      <c r="R39" s="69">
        <f t="shared" si="6"/>
        <v>8.6029805099946888</v>
      </c>
      <c r="S39" s="69">
        <f t="shared" si="6"/>
        <v>8.9842173462992356</v>
      </c>
      <c r="T39" s="69">
        <f t="shared" si="6"/>
        <v>9.382427991768461</v>
      </c>
      <c r="U39" s="69">
        <f t="shared" si="6"/>
        <v>9.7983698909781136</v>
      </c>
      <c r="V39" s="69">
        <f t="shared" si="6"/>
        <v>10.232834326372485</v>
      </c>
      <c r="W39" s="69">
        <f t="shared" si="6"/>
        <v>10.686647930746371</v>
      </c>
      <c r="X39" s="69">
        <f t="shared" si="6"/>
        <v>11.160674267349803</v>
      </c>
      <c r="Y39" s="69">
        <f t="shared" si="6"/>
        <v>11.655815480639486</v>
      </c>
      <c r="Z39" s="69">
        <f t="shared" si="6"/>
        <v>9.6491749685708239</v>
      </c>
      <c r="AA39" s="69">
        <f t="shared" si="6"/>
        <v>10.506955169749805</v>
      </c>
      <c r="AB39" s="69">
        <f t="shared" si="6"/>
        <v>10.890803897801971</v>
      </c>
      <c r="AC39" s="69">
        <f t="shared" si="6"/>
        <v>11.288703818726395</v>
      </c>
      <c r="AD39" s="69">
        <f t="shared" si="6"/>
        <v>11.701169944761286</v>
      </c>
      <c r="AE39" s="69">
        <f t="shared" si="6"/>
        <v>12.128736180243468</v>
      </c>
      <c r="AF39" s="69">
        <f t="shared" si="6"/>
        <v>12.571956015000049</v>
      </c>
      <c r="AG39" s="69">
        <f t="shared" si="6"/>
        <v>13.031403243199254</v>
      </c>
      <c r="AH39" s="69">
        <f t="shared" si="6"/>
        <v>13.507672708594297</v>
      </c>
      <c r="AI39" s="69">
        <f t="shared" si="6"/>
        <v>14.001381077130407</v>
      </c>
      <c r="AJ39" s="69">
        <f t="shared" si="6"/>
        <v>14.513167637919331</v>
      </c>
      <c r="AK39" s="69">
        <f t="shared" si="6"/>
        <v>15.043695133623604</v>
      </c>
    </row>
    <row r="40" spans="1:37" x14ac:dyDescent="0.2">
      <c r="A40" s="39" t="s">
        <v>564</v>
      </c>
      <c r="B40" s="92">
        <f t="shared" ref="B40:AK40" si="7">IF(B34=0,0,B32/B34)</f>
        <v>0.95579211020663746</v>
      </c>
      <c r="C40" s="92">
        <f t="shared" si="7"/>
        <v>8.3138070457869464</v>
      </c>
      <c r="D40" s="92">
        <f t="shared" si="7"/>
        <v>8.6969881859711613</v>
      </c>
      <c r="E40" s="92">
        <f t="shared" si="7"/>
        <v>9.040041602286971</v>
      </c>
      <c r="F40" s="92">
        <f t="shared" si="7"/>
        <v>9.3473943865644777</v>
      </c>
      <c r="G40" s="92">
        <f t="shared" si="7"/>
        <v>9.6228310620709543</v>
      </c>
      <c r="H40" s="92">
        <f t="shared" si="7"/>
        <v>8.9618438762911161</v>
      </c>
      <c r="I40" s="92">
        <f t="shared" si="7"/>
        <v>9.1698288675395876</v>
      </c>
      <c r="J40" s="92">
        <f t="shared" si="7"/>
        <v>9.3559757523717568</v>
      </c>
      <c r="K40" s="92">
        <f t="shared" si="7"/>
        <v>9.522217581075525</v>
      </c>
      <c r="L40" s="92">
        <f t="shared" si="7"/>
        <v>9.6702615220336305</v>
      </c>
      <c r="M40" s="92">
        <f t="shared" si="7"/>
        <v>9.8016215544170819</v>
      </c>
      <c r="N40" s="92">
        <f t="shared" si="7"/>
        <v>10.735837941971178</v>
      </c>
      <c r="O40" s="92">
        <f t="shared" si="7"/>
        <v>10.829088475250046</v>
      </c>
      <c r="P40" s="92">
        <f t="shared" si="7"/>
        <v>10.908036157253036</v>
      </c>
      <c r="Q40" s="92">
        <f t="shared" si="7"/>
        <v>10.973770107395916</v>
      </c>
      <c r="R40" s="92">
        <f t="shared" si="7"/>
        <v>11.027272745489437</v>
      </c>
      <c r="S40" s="92">
        <f t="shared" si="7"/>
        <v>11.069433220026971</v>
      </c>
      <c r="T40" s="92">
        <f t="shared" si="7"/>
        <v>11.101058858276133</v>
      </c>
      <c r="U40" s="92">
        <f t="shared" si="7"/>
        <v>11.122884968473818</v>
      </c>
      <c r="V40" s="92">
        <f t="shared" si="7"/>
        <v>11.135583262863079</v>
      </c>
      <c r="W40" s="92">
        <f t="shared" si="7"/>
        <v>11.13976912136906</v>
      </c>
      <c r="X40" s="92">
        <f t="shared" si="7"/>
        <v>11.136007876579404</v>
      </c>
      <c r="Y40" s="92">
        <f t="shared" si="7"/>
        <v>11.124820269234874</v>
      </c>
      <c r="Z40" s="92">
        <f t="shared" si="7"/>
        <v>11.798235562683496</v>
      </c>
      <c r="AA40" s="92">
        <f t="shared" si="7"/>
        <v>4.8986003907146642</v>
      </c>
      <c r="AB40" s="92">
        <f t="shared" si="7"/>
        <v>5.0544051964409693</v>
      </c>
      <c r="AC40" s="92">
        <f t="shared" si="7"/>
        <v>5.1898788567571383</v>
      </c>
      <c r="AD40" s="92">
        <f t="shared" si="7"/>
        <v>5.307630656894899</v>
      </c>
      <c r="AE40" s="92">
        <f t="shared" si="7"/>
        <v>5.4098283031448524</v>
      </c>
      <c r="AF40" s="92">
        <f t="shared" si="7"/>
        <v>5.4982880789231414</v>
      </c>
      <c r="AG40" s="92">
        <f t="shared" si="7"/>
        <v>5.5745438112058086</v>
      </c>
      <c r="AH40" s="92">
        <f t="shared" si="7"/>
        <v>5.6399002381069065</v>
      </c>
      <c r="AI40" s="92">
        <f t="shared" si="7"/>
        <v>5.6954747436770328</v>
      </c>
      <c r="AJ40" s="92">
        <f t="shared" si="7"/>
        <v>5.7422303138418354</v>
      </c>
      <c r="AK40" s="92">
        <f t="shared" si="7"/>
        <v>5.7810017942126422</v>
      </c>
    </row>
    <row r="41" spans="1:37" x14ac:dyDescent="0.2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</row>
    <row r="42" spans="1:37" ht="18" customHeight="1" x14ac:dyDescent="0.2">
      <c r="A42" s="40" t="s">
        <v>565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</row>
    <row r="43" spans="1:37" x14ac:dyDescent="0.2">
      <c r="A43" s="39" t="s">
        <v>566</v>
      </c>
      <c r="B43" s="58">
        <f>Tresorerie!D25</f>
        <v>44385929.215645909</v>
      </c>
      <c r="C43" s="58">
        <f>Tresorerie!E25</f>
        <v>41847420.890691809</v>
      </c>
      <c r="D43" s="58">
        <f>Tresorerie!F25</f>
        <v>39366271.123853713</v>
      </c>
      <c r="E43" s="58">
        <f>Tresorerie!G25</f>
        <v>36944879.337702803</v>
      </c>
      <c r="F43" s="58">
        <f>Tresorerie!H25</f>
        <v>34585775.89814806</v>
      </c>
      <c r="G43" s="58">
        <f>Tresorerie!I25</f>
        <v>32291628.271743476</v>
      </c>
      <c r="H43" s="58">
        <f>Tresorerie!J25</f>
        <v>30124371.028374031</v>
      </c>
      <c r="I43" s="58">
        <f>Tresorerie!K25</f>
        <v>28029024.540383607</v>
      </c>
      <c r="J43" s="58">
        <f>Tresorerie!L25</f>
        <v>26008731.431876894</v>
      </c>
      <c r="K43" s="58">
        <f>Tresorerie!M25</f>
        <v>24066799.873275176</v>
      </c>
      <c r="L43" s="58">
        <f>Tresorerie!N25</f>
        <v>22206711.503802925</v>
      </c>
      <c r="M43" s="58">
        <f>Tresorerie!O25</f>
        <v>19346798.732933979</v>
      </c>
      <c r="N43" s="58">
        <f>Tresorerie!P25</f>
        <v>17529518.007180605</v>
      </c>
      <c r="O43" s="58">
        <f>Tresorerie!Q25</f>
        <v>15803074.937042369</v>
      </c>
      <c r="P43" s="58">
        <f>Tresorerie!R25</f>
        <v>14171479.642885974</v>
      </c>
      <c r="Q43" s="58">
        <f>Tresorerie!S25</f>
        <v>12638573.574223535</v>
      </c>
      <c r="R43" s="58">
        <f>Tresorerie!T25</f>
        <v>11208375.943239979</v>
      </c>
      <c r="S43" s="58">
        <f>Tresorerie!U25</f>
        <v>9885091.3617916163</v>
      </c>
      <c r="T43" s="58">
        <f>Tresorerie!V25</f>
        <v>8673117.8263696767</v>
      </c>
      <c r="U43" s="58">
        <f>Tresorerie!W25</f>
        <v>7577055.0663322099</v>
      </c>
      <c r="V43" s="58">
        <f>Tresorerie!X25</f>
        <v>6601713.2713983832</v>
      </c>
      <c r="W43" s="58">
        <f>Tresorerie!Y25</f>
        <v>5752122.2151205838</v>
      </c>
      <c r="X43" s="58">
        <f>Tresorerie!Z25</f>
        <v>5033540.7918031458</v>
      </c>
      <c r="Y43" s="58">
        <f>Tresorerie!AA25</f>
        <v>2547115.7900272049</v>
      </c>
      <c r="Z43" s="58">
        <f>Tresorerie!AB25</f>
        <v>1519180.9405136413</v>
      </c>
      <c r="AA43" s="58">
        <f>Tresorerie!AC25</f>
        <v>619807.42393938091</v>
      </c>
      <c r="AB43" s="58">
        <f>Tresorerie!AD25</f>
        <v>-128418.86755331059</v>
      </c>
      <c r="AC43" s="58">
        <f>Tresorerie!AE25</f>
        <v>-721117.2400268428</v>
      </c>
      <c r="AD43" s="58">
        <f>Tresorerie!AF25</f>
        <v>-1153716.5243999888</v>
      </c>
      <c r="AE43" s="58">
        <f>Tresorerie!AG25</f>
        <v>-1421449.1035529471</v>
      </c>
      <c r="AF43" s="58">
        <f>Tresorerie!AH25</f>
        <v>-1519344.6926524052</v>
      </c>
      <c r="AG43" s="58">
        <f>Tresorerie!AI25</f>
        <v>-1442223.8645335769</v>
      </c>
      <c r="AH43" s="58">
        <f>Tresorerie!AJ25</f>
        <v>-1184691.311651234</v>
      </c>
      <c r="AI43" s="58">
        <f>Tresorerie!AK25</f>
        <v>-741128.83577562892</v>
      </c>
      <c r="AJ43" s="58">
        <f>Tresorerie!AL25</f>
        <v>-105688.05626147997</v>
      </c>
      <c r="AK43" s="58">
        <f>Tresorerie!AM25</f>
        <v>-2445043.6275112294</v>
      </c>
    </row>
    <row r="44" spans="1:37" x14ac:dyDescent="0.2">
      <c r="A44" s="39" t="s">
        <v>567</v>
      </c>
      <c r="B44" s="58">
        <f>Tresorerie!D27</f>
        <v>2152158.8461000002</v>
      </c>
      <c r="C44" s="58">
        <f>Tresorerie!E27</f>
        <v>1964012.2610630943</v>
      </c>
      <c r="D44" s="58">
        <f>Tresorerie!F27</f>
        <v>1902344.9824679119</v>
      </c>
      <c r="E44" s="58">
        <f>Tresorerie!G27</f>
        <v>1838245.9658979452</v>
      </c>
      <c r="F44" s="58">
        <f>Tresorerie!H27</f>
        <v>1771584.0256498861</v>
      </c>
      <c r="G44" s="58">
        <f>Tresorerie!I27</f>
        <v>1702221.8168954384</v>
      </c>
      <c r="H44" s="58">
        <f>Tresorerie!J27</f>
        <v>1570891.9902889798</v>
      </c>
      <c r="I44" s="58">
        <f>Tresorerie!K27</f>
        <v>1494508.495511855</v>
      </c>
      <c r="J44" s="58">
        <f>Tresorerie!L27</f>
        <v>1414948.8310845564</v>
      </c>
      <c r="K44" s="58">
        <f>Tresorerie!M27</f>
        <v>1332047.1990988925</v>
      </c>
      <c r="L44" s="58">
        <f>Tresorerie!N27</f>
        <v>1245629.8772731547</v>
      </c>
      <c r="M44" s="58">
        <f>Tresorerie!O27</f>
        <v>2240845.8399783559</v>
      </c>
      <c r="N44" s="58">
        <f>Tresorerie!P27</f>
        <v>1193570.792881107</v>
      </c>
      <c r="O44" s="58">
        <f>Tresorerie!Q27</f>
        <v>1098055.3127694267</v>
      </c>
      <c r="P44" s="58">
        <f>Tresorerie!R27</f>
        <v>998494.62860731815</v>
      </c>
      <c r="Q44" s="58">
        <f>Tresorerie!S27</f>
        <v>895057.14812174509</v>
      </c>
      <c r="R44" s="58">
        <f>Tresorerie!T27</f>
        <v>787564.84353880561</v>
      </c>
      <c r="S44" s="58">
        <f>Tresorerie!U27</f>
        <v>675832.048097778</v>
      </c>
      <c r="T44" s="58">
        <f>Tresorerie!V27</f>
        <v>559665.10807122546</v>
      </c>
      <c r="U44" s="58">
        <f>Tresorerie!W27</f>
        <v>438862.01948162244</v>
      </c>
      <c r="V44" s="58">
        <f>Tresorerie!X27</f>
        <v>313212.04882381333</v>
      </c>
      <c r="W44" s="58">
        <f>Tresorerie!Y27</f>
        <v>182495.33707196056</v>
      </c>
      <c r="X44" s="58">
        <f>Tresorerie!Z27</f>
        <v>46482.486217555328</v>
      </c>
      <c r="Y44" s="58">
        <f>Tresorerie!AA27</f>
        <v>1809285.3226478091</v>
      </c>
      <c r="Z44" s="58">
        <f>Tresorerie!AB27</f>
        <v>345716.62279197102</v>
      </c>
      <c r="AA44" s="58">
        <f>Tresorerie!AC27</f>
        <v>212038.65315225607</v>
      </c>
      <c r="AB44" s="58">
        <f>Tresorerie!AD27</f>
        <v>55736.416595021961</v>
      </c>
      <c r="AC44" s="58">
        <f>Tresorerie!AE27</f>
        <v>0</v>
      </c>
      <c r="AD44" s="58">
        <f>Tresorerie!AF27</f>
        <v>0</v>
      </c>
      <c r="AE44" s="58">
        <f>Tresorerie!AG27</f>
        <v>0</v>
      </c>
      <c r="AF44" s="58">
        <f>Tresorerie!AH27</f>
        <v>0</v>
      </c>
      <c r="AG44" s="58">
        <f>Tresorerie!AI27</f>
        <v>0</v>
      </c>
      <c r="AH44" s="58">
        <f>Tresorerie!AJ27</f>
        <v>0</v>
      </c>
      <c r="AI44" s="58">
        <f>Tresorerie!AK27</f>
        <v>0</v>
      </c>
      <c r="AJ44" s="58">
        <f>Tresorerie!AL27</f>
        <v>0</v>
      </c>
      <c r="AK44" s="58">
        <f>Tresorerie!AM27</f>
        <v>1598695.5195326828</v>
      </c>
    </row>
    <row r="45" spans="1:37" x14ac:dyDescent="0.2">
      <c r="A45" s="39" t="s">
        <v>568</v>
      </c>
      <c r="B45" s="45">
        <f>Tresorerie!D28</f>
        <v>20.623909474005206</v>
      </c>
      <c r="C45" s="45">
        <f>Tresorerie!E28</f>
        <v>21.307107761150302</v>
      </c>
      <c r="D45" s="45">
        <f>Tresorerie!F28</f>
        <v>20.693550058824691</v>
      </c>
      <c r="E45" s="45">
        <f>Tresorerie!G28</f>
        <v>20.097897682400728</v>
      </c>
      <c r="F45" s="45">
        <f>Tresorerie!H28</f>
        <v>19.522515103657387</v>
      </c>
      <c r="G45" s="45">
        <f>Tresorerie!I28</f>
        <v>18.970282222464924</v>
      </c>
      <c r="H45" s="45">
        <f>Tresorerie!J28</f>
        <v>19.176602347327762</v>
      </c>
      <c r="I45" s="45">
        <f>Tresorerie!K28</f>
        <v>18.75467728992998</v>
      </c>
      <c r="J45" s="45">
        <f>Tresorerie!L28</f>
        <v>18.381393630991756</v>
      </c>
      <c r="K45" s="45">
        <f>Tresorerie!M28</f>
        <v>18.067527854535456</v>
      </c>
      <c r="L45" s="45">
        <f>Tresorerie!N28</f>
        <v>17.82769658063782</v>
      </c>
      <c r="M45" s="45">
        <f>Tresorerie!O28</f>
        <v>8.6337035720051354</v>
      </c>
      <c r="N45" s="45">
        <f>Tresorerie!P28</f>
        <v>14.686617762208213</v>
      </c>
      <c r="O45" s="45">
        <f>Tresorerie!Q28</f>
        <v>14.391875120739705</v>
      </c>
      <c r="P45" s="45">
        <f>Tresorerie!R28</f>
        <v>14.19284514594945</v>
      </c>
      <c r="Q45" s="45">
        <f>Tresorerie!S28</f>
        <v>14.120409630541763</v>
      </c>
      <c r="R45" s="45">
        <f>Tresorerie!T28</f>
        <v>14.231686489301385</v>
      </c>
      <c r="S45" s="45">
        <f>Tresorerie!U28</f>
        <v>14.626550175616208</v>
      </c>
      <c r="T45" s="45">
        <f>Tresorerie!V28</f>
        <v>15.496977927139058</v>
      </c>
      <c r="U45" s="45">
        <f>Tresorerie!W28</f>
        <v>17.26523310283747</v>
      </c>
      <c r="V45" s="45">
        <f>Tresorerie!X28</f>
        <v>21.077456298981492</v>
      </c>
      <c r="W45" s="45">
        <f>Tresorerie!Y28</f>
        <v>31.519283217918268</v>
      </c>
      <c r="X45" s="45">
        <f>Tresorerie!Z28</f>
        <v>108.28897508287966</v>
      </c>
      <c r="Y45" s="45">
        <f>Tresorerie!AA28</f>
        <v>1.4078021626238661</v>
      </c>
      <c r="Z45" s="45">
        <f>Tresorerie!AB28</f>
        <v>4.3942953284828947</v>
      </c>
      <c r="AA45" s="45">
        <f>Tresorerie!AC28</f>
        <v>2.9230869689326084</v>
      </c>
      <c r="AB45" s="45">
        <f>Tresorerie!AD28</f>
        <v>-2.3040388205505873</v>
      </c>
      <c r="AC45" s="45" t="str">
        <f>Tresorerie!AE28</f>
        <v>∞</v>
      </c>
      <c r="AD45" s="45" t="str">
        <f>Tresorerie!AF28</f>
        <v>∞</v>
      </c>
      <c r="AE45" s="45" t="str">
        <f>Tresorerie!AG28</f>
        <v>∞</v>
      </c>
      <c r="AF45" s="45" t="str">
        <f>Tresorerie!AH28</f>
        <v>∞</v>
      </c>
      <c r="AG45" s="45" t="str">
        <f>Tresorerie!AI28</f>
        <v>∞</v>
      </c>
      <c r="AH45" s="45" t="str">
        <f>Tresorerie!AJ28</f>
        <v>∞</v>
      </c>
      <c r="AI45" s="45" t="str">
        <f>Tresorerie!AK28</f>
        <v>∞</v>
      </c>
      <c r="AJ45" s="45" t="str">
        <f>Tresorerie!AL28</f>
        <v>∞</v>
      </c>
      <c r="AK45" s="45">
        <f>Tresorerie!AM28</f>
        <v>-1.5293991867982115</v>
      </c>
    </row>
    <row r="46" spans="1:37" x14ac:dyDescent="0.2">
      <c r="A46" s="39" t="s">
        <v>569</v>
      </c>
      <c r="B46" s="58">
        <f>MIN(Financement!C34,12*Financement!$C$31)+CHOOSE('P&amp;L'!B2,'P&amp;L'!$B$34,'P&amp;L'!$C$34,'P&amp;L'!$D$34)</f>
        <v>11798711.718033407</v>
      </c>
      <c r="C46" s="58">
        <f>MIN(Financement!D34,12*Financement!$C$31)+CHOOSE('P&amp;L'!C2,'P&amp;L'!$B$34,'P&amp;L'!$C$34,'P&amp;L'!$D$34)</f>
        <v>11798711.718033407</v>
      </c>
      <c r="D46" s="58">
        <f>MIN(Financement!E34,12*Financement!$C$31)+CHOOSE('P&amp;L'!D2,'P&amp;L'!$B$34,'P&amp;L'!$C$34,'P&amp;L'!$D$34)</f>
        <v>11798711.718033407</v>
      </c>
      <c r="E46" s="58">
        <f>MIN(Financement!F34,12*Financement!$C$31)+CHOOSE('P&amp;L'!E2,'P&amp;L'!$B$34,'P&amp;L'!$C$34,'P&amp;L'!$D$34)</f>
        <v>11798711.718033407</v>
      </c>
      <c r="F46" s="58">
        <f>MIN(Financement!G34,12*Financement!$C$31)+CHOOSE('P&amp;L'!F2,'P&amp;L'!$B$34,'P&amp;L'!$C$34,'P&amp;L'!$D$34)</f>
        <v>11798711.718033407</v>
      </c>
      <c r="G46" s="58">
        <f>MIN(Financement!H34,12*Financement!$C$31)+CHOOSE('P&amp;L'!G2,'P&amp;L'!$B$34,'P&amp;L'!$C$34,'P&amp;L'!$D$34)</f>
        <v>11798711.718033407</v>
      </c>
      <c r="H46" s="58">
        <f>MIN(Financement!I34,12*Financement!$C$31)+CHOOSE('P&amp;L'!H2,'P&amp;L'!$B$34,'P&amp;L'!$C$34,'P&amp;L'!$D$34)</f>
        <v>11798711.718033407</v>
      </c>
      <c r="I46" s="58">
        <f>MIN(Financement!J34,12*Financement!$C$31)+CHOOSE('P&amp;L'!I2,'P&amp;L'!$B$34,'P&amp;L'!$C$34,'P&amp;L'!$D$34)</f>
        <v>11798711.718033407</v>
      </c>
      <c r="J46" s="58">
        <f>MIN(Financement!K34,12*Financement!$C$31)+CHOOSE('P&amp;L'!J2,'P&amp;L'!$B$34,'P&amp;L'!$C$34,'P&amp;L'!$D$34)</f>
        <v>11798711.718033407</v>
      </c>
      <c r="K46" s="58">
        <f>MIN(Financement!L34,12*Financement!$C$31)+CHOOSE('P&amp;L'!K2,'P&amp;L'!$B$34,'P&amp;L'!$C$34,'P&amp;L'!$D$34)</f>
        <v>11798711.718033407</v>
      </c>
      <c r="L46" s="58">
        <f>MIN(Financement!M34,12*Financement!$C$31)+CHOOSE('P&amp;L'!L2,'P&amp;L'!$B$34,'P&amp;L'!$C$34,'P&amp;L'!$D$34)</f>
        <v>11798711.718033407</v>
      </c>
      <c r="M46" s="58">
        <f>MIN(Financement!N34,12*Financement!$C$31)+CHOOSE('P&amp;L'!M2,'P&amp;L'!$B$34,'P&amp;L'!$C$34,'P&amp;L'!$D$34)</f>
        <v>11798711.718033407</v>
      </c>
      <c r="N46" s="58">
        <f>MIN(Financement!O34,12*Financement!$C$31)+CHOOSE('P&amp;L'!N2,'P&amp;L'!$B$34,'P&amp;L'!$C$34,'P&amp;L'!$D$34)</f>
        <v>12617731.887345359</v>
      </c>
      <c r="O46" s="58">
        <f>MIN(Financement!P34,12*Financement!$C$31)+CHOOSE('P&amp;L'!O2,'P&amp;L'!$B$34,'P&amp;L'!$C$34,'P&amp;L'!$D$34)</f>
        <v>12617731.887345359</v>
      </c>
      <c r="P46" s="58">
        <f>MIN(Financement!Q34,12*Financement!$C$31)+CHOOSE('P&amp;L'!P2,'P&amp;L'!$B$34,'P&amp;L'!$C$34,'P&amp;L'!$D$34)</f>
        <v>12617731.887345359</v>
      </c>
      <c r="Q46" s="58">
        <f>MIN(Financement!R34,12*Financement!$C$31)+CHOOSE('P&amp;L'!Q2,'P&amp;L'!$B$34,'P&amp;L'!$C$34,'P&amp;L'!$D$34)</f>
        <v>12617731.887345359</v>
      </c>
      <c r="R46" s="58">
        <f>MIN(Financement!S34,12*Financement!$C$31)+CHOOSE('P&amp;L'!R2,'P&amp;L'!$B$34,'P&amp;L'!$C$34,'P&amp;L'!$D$34)</f>
        <v>12617731.887345359</v>
      </c>
      <c r="S46" s="58">
        <f>MIN(Financement!T34,12*Financement!$C$31)+CHOOSE('P&amp;L'!S2,'P&amp;L'!$B$34,'P&amp;L'!$C$34,'P&amp;L'!$D$34)</f>
        <v>12617731.887345359</v>
      </c>
      <c r="T46" s="58">
        <f>MIN(Financement!U34,12*Financement!$C$31)+CHOOSE('P&amp;L'!T2,'P&amp;L'!$B$34,'P&amp;L'!$C$34,'P&amp;L'!$D$34)</f>
        <v>12617731.887345359</v>
      </c>
      <c r="U46" s="58">
        <f>MIN(Financement!V34,12*Financement!$C$31)+CHOOSE('P&amp;L'!U2,'P&amp;L'!$B$34,'P&amp;L'!$C$34,'P&amp;L'!$D$34)</f>
        <v>12617731.887345359</v>
      </c>
      <c r="V46" s="58">
        <f>MIN(Financement!W34,12*Financement!$C$31)+CHOOSE('P&amp;L'!V2,'P&amp;L'!$B$34,'P&amp;L'!$C$34,'P&amp;L'!$D$34)</f>
        <v>12617731.887345359</v>
      </c>
      <c r="W46" s="58">
        <f>MIN(Financement!X34,12*Financement!$C$31)+CHOOSE('P&amp;L'!W2,'P&amp;L'!$B$34,'P&amp;L'!$C$34,'P&amp;L'!$D$34)</f>
        <v>12617731.887345359</v>
      </c>
      <c r="X46" s="58">
        <f>MIN(Financement!Y34,12*Financement!$C$31)+CHOOSE('P&amp;L'!X2,'P&amp;L'!$B$34,'P&amp;L'!$C$34,'P&amp;L'!$D$34)</f>
        <v>12617731.887345359</v>
      </c>
      <c r="Y46" s="58">
        <f>MIN(Financement!Z34,12*Financement!$C$31)+CHOOSE('P&amp;L'!Y2,'P&amp;L'!$B$34,'P&amp;L'!$C$34,'P&amp;L'!$D$34)</f>
        <v>12617731.887345359</v>
      </c>
      <c r="Z46" s="58">
        <f>MIN(Financement!AA34,12*Financement!$C$31)+CHOOSE('P&amp;L'!Z2,'P&amp;L'!$B$34,'P&amp;L'!$C$34,'P&amp;L'!$D$34)</f>
        <v>13886141.492401864</v>
      </c>
      <c r="AA46" s="58">
        <f>MIN(Financement!AB34,12*Financement!$C$31)+CHOOSE('P&amp;L'!AA2,'P&amp;L'!$B$34,'P&amp;L'!$C$34,'P&amp;L'!$D$34)</f>
        <v>13886141.492401864</v>
      </c>
      <c r="AB46" s="58">
        <f>MIN(Financement!AC34,12*Financement!$C$31)+CHOOSE('P&amp;L'!AB2,'P&amp;L'!$B$34,'P&amp;L'!$C$34,'P&amp;L'!$D$34)</f>
        <v>13886141.492401864</v>
      </c>
      <c r="AC46" s="58">
        <f>MIN(Financement!AD34,12*Financement!$C$31)+CHOOSE('P&amp;L'!AC2,'P&amp;L'!$B$34,'P&amp;L'!$C$34,'P&amp;L'!$D$34)</f>
        <v>13886141.492401864</v>
      </c>
      <c r="AD46" s="58">
        <f>MIN(Financement!AE34,12*Financement!$C$31)+CHOOSE('P&amp;L'!AD2,'P&amp;L'!$B$34,'P&amp;L'!$C$34,'P&amp;L'!$D$34)</f>
        <v>13886141.492401864</v>
      </c>
      <c r="AE46" s="58">
        <f>MIN(Financement!AF34,12*Financement!$C$31)+CHOOSE('P&amp;L'!AE2,'P&amp;L'!$B$34,'P&amp;L'!$C$34,'P&amp;L'!$D$34)</f>
        <v>13886141.492401864</v>
      </c>
      <c r="AF46" s="58">
        <f>MIN(Financement!AG34,12*Financement!$C$31)+CHOOSE('P&amp;L'!AF2,'P&amp;L'!$B$34,'P&amp;L'!$C$34,'P&amp;L'!$D$34)</f>
        <v>13886141.492401864</v>
      </c>
      <c r="AG46" s="58">
        <f>MIN(Financement!AH34,12*Financement!$C$31)+CHOOSE('P&amp;L'!AG2,'P&amp;L'!$B$34,'P&amp;L'!$C$34,'P&amp;L'!$D$34)</f>
        <v>13886141.492401864</v>
      </c>
      <c r="AH46" s="58">
        <f>MIN(Financement!AI34,12*Financement!$C$31)+CHOOSE('P&amp;L'!AH2,'P&amp;L'!$B$34,'P&amp;L'!$C$34,'P&amp;L'!$D$34)</f>
        <v>13886141.492401864</v>
      </c>
      <c r="AI46" s="58">
        <f>MIN(Financement!AJ34,12*Financement!$C$31)+CHOOSE('P&amp;L'!AI2,'P&amp;L'!$B$34,'P&amp;L'!$C$34,'P&amp;L'!$D$34)</f>
        <v>13886141.492401864</v>
      </c>
      <c r="AJ46" s="58">
        <f>MIN(Financement!AK34,12*Financement!$C$31)+CHOOSE('P&amp;L'!AJ2,'P&amp;L'!$B$34,'P&amp;L'!$C$34,'P&amp;L'!$D$34)</f>
        <v>13886141.492401864</v>
      </c>
      <c r="AK46" s="58">
        <f>MIN(Financement!AL34,12*Financement!$C$31)+CHOOSE('P&amp;L'!AK2,'P&amp;L'!$B$34,'P&amp;L'!$C$34,'P&amp;L'!$D$34)</f>
        <v>13886141.492401864</v>
      </c>
    </row>
    <row r="47" spans="1:37" x14ac:dyDescent="0.2">
      <c r="A47" s="39" t="s">
        <v>570</v>
      </c>
      <c r="B47" s="69">
        <f t="shared" ref="B47:AK47" si="8">IF(B46=0,"∞",B43/B46)</f>
        <v>3.7619301391867634</v>
      </c>
      <c r="C47" s="69">
        <f t="shared" si="8"/>
        <v>3.5467788255840937</v>
      </c>
      <c r="D47" s="69">
        <f t="shared" si="8"/>
        <v>3.3364889374901372</v>
      </c>
      <c r="E47" s="69">
        <f t="shared" si="8"/>
        <v>3.1312638380032158</v>
      </c>
      <c r="F47" s="69">
        <f t="shared" si="8"/>
        <v>2.9313179883263363</v>
      </c>
      <c r="G47" s="69">
        <f t="shared" si="8"/>
        <v>2.7368774696298623</v>
      </c>
      <c r="H47" s="69">
        <f t="shared" si="8"/>
        <v>2.5531915473730313</v>
      </c>
      <c r="I47" s="69">
        <f t="shared" si="8"/>
        <v>2.3756004223362317</v>
      </c>
      <c r="J47" s="69">
        <f t="shared" si="8"/>
        <v>2.204370447675621</v>
      </c>
      <c r="K47" s="69">
        <f t="shared" si="8"/>
        <v>2.0397820074280615</v>
      </c>
      <c r="L47" s="69">
        <f t="shared" si="8"/>
        <v>1.8821301879816001</v>
      </c>
      <c r="M47" s="69">
        <f t="shared" si="8"/>
        <v>1.6397382354349681</v>
      </c>
      <c r="N47" s="69">
        <f t="shared" si="8"/>
        <v>1.3892764693123176</v>
      </c>
      <c r="O47" s="69">
        <f t="shared" si="8"/>
        <v>1.2524497332909468</v>
      </c>
      <c r="P47" s="69">
        <f t="shared" si="8"/>
        <v>1.1231400198873229</v>
      </c>
      <c r="Q47" s="69">
        <f t="shared" si="8"/>
        <v>1.0016517775987204</v>
      </c>
      <c r="R47" s="69">
        <f t="shared" si="8"/>
        <v>0.88830354324465732</v>
      </c>
      <c r="S47" s="69">
        <f t="shared" si="8"/>
        <v>0.78342854722611621</v>
      </c>
      <c r="T47" s="69">
        <f t="shared" si="8"/>
        <v>0.68737534636222264</v>
      </c>
      <c r="U47" s="69">
        <f t="shared" si="8"/>
        <v>0.60050848551722913</v>
      </c>
      <c r="V47" s="69">
        <f t="shared" si="8"/>
        <v>0.52320918928539029</v>
      </c>
      <c r="W47" s="69">
        <f t="shared" si="8"/>
        <v>0.45587608505848282</v>
      </c>
      <c r="X47" s="69">
        <f t="shared" si="8"/>
        <v>0.39892595886043597</v>
      </c>
      <c r="Y47" s="69">
        <f t="shared" si="8"/>
        <v>0.20186795953255049</v>
      </c>
      <c r="Z47" s="69">
        <f t="shared" si="8"/>
        <v>0.10940266893758051</v>
      </c>
      <c r="AA47" s="69">
        <f t="shared" si="8"/>
        <v>4.4634963879528623E-2</v>
      </c>
      <c r="AB47" s="69">
        <f t="shared" si="8"/>
        <v>-9.2479878318666164E-3</v>
      </c>
      <c r="AC47" s="69">
        <f t="shared" si="8"/>
        <v>-5.1930713828706079E-2</v>
      </c>
      <c r="AD47" s="69">
        <f t="shared" si="8"/>
        <v>-8.308402481936919E-2</v>
      </c>
      <c r="AE47" s="69">
        <f t="shared" si="8"/>
        <v>-0.10236458445499255</v>
      </c>
      <c r="AF47" s="69">
        <f t="shared" si="8"/>
        <v>-0.10941446142427334</v>
      </c>
      <c r="AG47" s="69">
        <f t="shared" si="8"/>
        <v>-0.10386066318874285</v>
      </c>
      <c r="AH47" s="69">
        <f t="shared" si="8"/>
        <v>-8.5314650747255194E-2</v>
      </c>
      <c r="AI47" s="69">
        <f t="shared" si="8"/>
        <v>-5.3371833794229689E-2</v>
      </c>
      <c r="AJ47" s="69">
        <f t="shared" si="8"/>
        <v>-7.6110456111447324E-3</v>
      </c>
      <c r="AK47" s="69">
        <f t="shared" si="8"/>
        <v>-0.17607797161285543</v>
      </c>
    </row>
    <row r="48" spans="1:37" x14ac:dyDescent="0.2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</row>
    <row r="49" spans="1:37" ht="18" customHeight="1" x14ac:dyDescent="0.2">
      <c r="A49" s="40" t="s">
        <v>571</v>
      </c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</row>
    <row r="50" spans="1:37" x14ac:dyDescent="0.2">
      <c r="A50" s="52"/>
      <c r="B50" s="52" t="s">
        <v>421</v>
      </c>
      <c r="C50" s="52" t="s">
        <v>422</v>
      </c>
      <c r="D50" s="52" t="s">
        <v>423</v>
      </c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</row>
    <row r="51" spans="1:37" x14ac:dyDescent="0.2">
      <c r="A51" s="39" t="s">
        <v>572</v>
      </c>
      <c r="B51" s="66">
        <f>SUMIF($B$2:$AK$2,1,$B$6:$AK$6)</f>
        <v>39755687.552720465</v>
      </c>
      <c r="C51" s="66">
        <f>SUMIF($B$2:$AK$2,2,$B$6:$AK$6)</f>
        <v>54904950.793414772</v>
      </c>
      <c r="D51" s="66">
        <f>SUMIF($B$2:$AK$2,3,$B$6:$AK$6)</f>
        <v>77839857.707230031</v>
      </c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</row>
    <row r="52" spans="1:37" x14ac:dyDescent="0.2">
      <c r="A52" s="39" t="s">
        <v>573</v>
      </c>
      <c r="B52" s="58">
        <f>'P&amp;L'!B30</f>
        <v>21706620.515684549</v>
      </c>
      <c r="C52" s="58">
        <f>'P&amp;L'!C30</f>
        <v>38087023.901923612</v>
      </c>
      <c r="D52" s="58">
        <f>'P&amp;L'!D30</f>
        <v>63455216.003053702</v>
      </c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</row>
    <row r="53" spans="1:37" x14ac:dyDescent="0.2">
      <c r="A53" s="39" t="s">
        <v>574</v>
      </c>
      <c r="B53" s="42">
        <f>IF(SUMIF($B$2:$AK$2,1,$B$6:$AK$6)=0,0,SUMIF($B$2:$AK$2,1,'Plan ventes'!$B$62:$AK$62)/SUMIF($B$2:$AK$2,1,$B$6:$AK$6))</f>
        <v>0.13540515134968845</v>
      </c>
      <c r="C53" s="42">
        <f>IF(SUMIF($B$2:$AK$2,2,$B$6:$AK$6)=0,0,SUMIF($B$2:$AK$2,2,'Plan ventes'!$B$62:$AK$62)/SUMIF($B$2:$AK$2,2,$B$6:$AK$6))</f>
        <v>0.14351988151346509</v>
      </c>
      <c r="D53" s="42">
        <f>IF(SUMIF($B$2:$AK$2,3,$B$6:$AK$6)=0,0,SUMIF($B$2:$AK$2,3,'Plan ventes'!$B$62:$AK$62)/SUMIF($B$2:$AK$2,3,$B$6:$AK$6))</f>
        <v>0.14343777056278648</v>
      </c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</row>
    <row r="54" spans="1:37" x14ac:dyDescent="0.2">
      <c r="A54" s="39" t="s">
        <v>575</v>
      </c>
      <c r="B54" s="66">
        <f>INDEX($B$9:$AK$9,1,12*1)</f>
        <v>1753171.5312358073</v>
      </c>
      <c r="C54" s="66">
        <f>INDEX($B$9:$AK$9,1,12*2)</f>
        <v>3146834.9317524019</v>
      </c>
      <c r="D54" s="66">
        <f>INDEX($B$9:$AK$9,1,12*3)</f>
        <v>5294358.0922203781</v>
      </c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</row>
    <row r="55" spans="1:37" x14ac:dyDescent="0.2">
      <c r="A55" s="39" t="s">
        <v>425</v>
      </c>
      <c r="B55" s="58">
        <f>'P&amp;L'!B31</f>
        <v>-15962797.029032622</v>
      </c>
      <c r="C55" s="58">
        <f>'P&amp;L'!C31</f>
        <v>-4181951.0555614131</v>
      </c>
      <c r="D55" s="58">
        <f>'P&amp;L'!D31</f>
        <v>8893982.0748634301</v>
      </c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</row>
    <row r="56" spans="1:37" x14ac:dyDescent="0.2">
      <c r="A56" s="39" t="s">
        <v>429</v>
      </c>
      <c r="B56" s="58">
        <f>'P&amp;L'!B35</f>
        <v>-21609440.131310072</v>
      </c>
      <c r="C56" s="58">
        <f>'P&amp;L'!C35</f>
        <v>-9978577.096330164</v>
      </c>
      <c r="D56" s="58">
        <f>'P&amp;L'!D35</f>
        <v>2560743.9669084931</v>
      </c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</row>
    <row r="57" spans="1:37" x14ac:dyDescent="0.2">
      <c r="A57" s="39" t="s">
        <v>576</v>
      </c>
      <c r="B57" s="60">
        <f>IF(B52=0,0,B55/B52)</f>
        <v>-0.73538840454221721</v>
      </c>
      <c r="C57" s="60">
        <f>IF(C52=0,0,C55/C52)</f>
        <v>-0.10979989054356648</v>
      </c>
      <c r="D57" s="60">
        <f>IF(D52=0,0,D55/D52)</f>
        <v>0.14016156015346978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</row>
    <row r="58" spans="1:37" x14ac:dyDescent="0.2">
      <c r="A58" s="39" t="s">
        <v>577</v>
      </c>
      <c r="B58" s="60">
        <f>0</f>
        <v>0</v>
      </c>
      <c r="C58" s="60">
        <f>IF(B52=0,0,C52/B52-1)</f>
        <v>0.75462706755310327</v>
      </c>
      <c r="D58" s="60">
        <f>IF(C52=0,0,D52/C52-1)</f>
        <v>0.66605865993769209</v>
      </c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</row>
    <row r="59" spans="1:37" x14ac:dyDescent="0.2">
      <c r="A59" s="39" t="s">
        <v>578</v>
      </c>
      <c r="B59" s="92">
        <f>INDEX($B$16:$AK$16,1,12*1)</f>
        <v>46.352394768393964</v>
      </c>
      <c r="C59" s="92">
        <f>INDEX($B$16:$AK$16,1,12*2)</f>
        <v>62.777018924351232</v>
      </c>
      <c r="D59" s="92">
        <f>INDEX($B$16:$AK$16,1,12*3)</f>
        <v>121.62288507916993</v>
      </c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</row>
    <row r="60" spans="1:37" x14ac:dyDescent="0.2">
      <c r="A60" s="39" t="s">
        <v>579</v>
      </c>
      <c r="B60" s="60">
        <f>INDEX($B$17:$AK$17,1,12*1)</f>
        <v>0.25147857407246865</v>
      </c>
      <c r="C60" s="60">
        <f>INDEX($B$17:$AK$17,1,12*2)</f>
        <v>0.24155618817092431</v>
      </c>
      <c r="D60" s="60">
        <f>INDEX($B$17:$AK$17,1,12*3)</f>
        <v>0.16634719798469891</v>
      </c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</row>
    <row r="61" spans="1:37" x14ac:dyDescent="0.2">
      <c r="A61" s="39" t="s">
        <v>580</v>
      </c>
      <c r="B61" s="66">
        <f>SUMIF($B$2:$AK$2,1,$B$19:$AK$19)</f>
        <v>0</v>
      </c>
      <c r="C61" s="66">
        <f>SUMIF($B$2:$AK$2,2,$B$19:$AK$19)</f>
        <v>0</v>
      </c>
      <c r="D61" s="66">
        <f>SUMIF($B$2:$AK$2,3,$B$19:$AK$19)</f>
        <v>0</v>
      </c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</row>
    <row r="62" spans="1:37" x14ac:dyDescent="0.2">
      <c r="A62" s="39" t="s">
        <v>581</v>
      </c>
      <c r="B62" s="66">
        <f>SUMIF($B$2:$AK$2,1,$B$12:$AK$12)</f>
        <v>4800000</v>
      </c>
      <c r="C62" s="66">
        <f>SUMIF($B$2:$AK$2,2,$B$12:$AK$12)</f>
        <v>6000000</v>
      </c>
      <c r="D62" s="66">
        <f>SUMIF($B$2:$AK$2,3,$B$12:$AK$12)</f>
        <v>7200000</v>
      </c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</row>
    <row r="63" spans="1:37" x14ac:dyDescent="0.2">
      <c r="A63" s="39" t="s">
        <v>582</v>
      </c>
      <c r="B63" s="66">
        <f>IF(SUMIF($B$2:$AK$2,1,$B$27:$AK$27)=0,0,SUMIF($B$2:$AK$2,1,$B$30:$AK$30)/SUMIF($B$2:$AK$2,1,$B$27:$AK$27))</f>
        <v>35682.077922077922</v>
      </c>
      <c r="C63" s="66">
        <f>IF(SUMIF($B$2:$AK$2,2,$B$27:$AK$27)=0,0,SUMIF($B$2:$AK$2,2,$B$30:$AK$30)/SUMIF($B$2:$AK$2,2,$B$27:$AK$27))</f>
        <v>66919.199999999983</v>
      </c>
      <c r="D63" s="66">
        <f>IF(SUMIF($B$2:$AK$2,3,$B$27:$AK$27)=0,0,SUMIF($B$2:$AK$2,3,$B$30:$AK$30)/SUMIF($B$2:$AK$2,3,$B$27:$AK$27))</f>
        <v>32325.362526315792</v>
      </c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39"/>
      <c r="AF63" s="39"/>
      <c r="AG63" s="39"/>
      <c r="AH63" s="39"/>
      <c r="AI63" s="39"/>
      <c r="AJ63" s="39"/>
      <c r="AK63" s="39"/>
    </row>
    <row r="64" spans="1:37" x14ac:dyDescent="0.2">
      <c r="A64" s="39" t="s">
        <v>583</v>
      </c>
      <c r="B64" s="66">
        <f>IF(SUMIF($B$2:$AK$2,1,$B$28:$AK$28)=0,0,SUMIF($B$2:$AK$2,1,$B$31:$AK$31)/SUMIF($B$2:$AK$2,1,$B$28:$AK$28))</f>
        <v>27259.125631541952</v>
      </c>
      <c r="C64" s="66">
        <f>IF(SUMIF($B$2:$AK$2,2,$B$28:$AK$28)=0,0,SUMIF($B$2:$AK$2,2,$B$31:$AK$31)/SUMIF($B$2:$AK$2,2,$B$28:$AK$28))</f>
        <v>26165.618422276206</v>
      </c>
      <c r="D64" s="66">
        <f>IF(SUMIF($B$2:$AK$2,3,$B$28:$AK$28)=0,0,SUMIF($B$2:$AK$2,3,$B$31:$AK$31)/SUMIF($B$2:$AK$2,3,$B$28:$AK$28))</f>
        <v>22872.078923238449</v>
      </c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</row>
    <row r="65" spans="1:37" x14ac:dyDescent="0.2">
      <c r="A65" s="39" t="s">
        <v>584</v>
      </c>
      <c r="B65" s="69">
        <f>INDEX($B$38:$AK$38,1,12*1)</f>
        <v>3.4007978321007237</v>
      </c>
      <c r="C65" s="69">
        <f>INDEX($B$38:$AK$38,1,12*2)</f>
        <v>2.9963030886453939</v>
      </c>
      <c r="D65" s="69">
        <f>INDEX($B$38:$AK$38,1,12*3)</f>
        <v>5.7660133173982606</v>
      </c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</row>
    <row r="66" spans="1:37" x14ac:dyDescent="0.2">
      <c r="A66" s="39" t="s">
        <v>585</v>
      </c>
      <c r="B66" s="69">
        <f>INDEX($B$39:$AK$39,1,12*1)</f>
        <v>8.0513684992402066</v>
      </c>
      <c r="C66" s="69">
        <f>INDEX($B$39:$AK$39,1,12*2)</f>
        <v>11.655815480639486</v>
      </c>
      <c r="D66" s="69">
        <f>INDEX($B$39:$AK$39,1,12*3)</f>
        <v>15.043695133623604</v>
      </c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</row>
    <row r="67" spans="1:37" x14ac:dyDescent="0.2">
      <c r="A67" s="39" t="s">
        <v>586</v>
      </c>
      <c r="B67" s="60">
        <f>B58+B57</f>
        <v>-0.73538840454221721</v>
      </c>
      <c r="C67" s="60">
        <f>C58+C57</f>
        <v>0.64482717700953684</v>
      </c>
      <c r="D67" s="60">
        <f>D58+D57</f>
        <v>0.8062202200911619</v>
      </c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</row>
    <row r="68" spans="1:37" x14ac:dyDescent="0.2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</row>
    <row r="69" spans="1:37" x14ac:dyDescent="0.2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</row>
    <row r="70" spans="1:37" x14ac:dyDescent="0.2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</row>
    <row r="71" spans="1:37" x14ac:dyDescent="0.2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</row>
    <row r="72" spans="1:37" x14ac:dyDescent="0.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</row>
    <row r="73" spans="1:37" x14ac:dyDescent="0.2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</row>
    <row r="74" spans="1:37" x14ac:dyDescent="0.2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</row>
    <row r="75" spans="1:37" x14ac:dyDescent="0.2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x14ac:dyDescent="0.2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</row>
    <row r="77" spans="1:37" x14ac:dyDescent="0.2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</row>
    <row r="78" spans="1:37" x14ac:dyDescent="0.2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</row>
    <row r="79" spans="1:37" x14ac:dyDescent="0.2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</row>
    <row r="80" spans="1:37" x14ac:dyDescent="0.2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</row>
    <row r="81" spans="1:37" x14ac:dyDescent="0.2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</row>
    <row r="82" spans="1:37" x14ac:dyDescent="0.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</row>
    <row r="83" spans="1:37" x14ac:dyDescent="0.2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</row>
    <row r="84" spans="1:37" x14ac:dyDescent="0.2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</row>
    <row r="85" spans="1:37" x14ac:dyDescent="0.2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</row>
    <row r="86" spans="1:37" x14ac:dyDescent="0.2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</row>
    <row r="87" spans="1:37" x14ac:dyDescent="0.2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</row>
    <row r="88" spans="1:37" x14ac:dyDescent="0.2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</row>
    <row r="89" spans="1:37" x14ac:dyDescent="0.2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</row>
    <row r="90" spans="1:37" x14ac:dyDescent="0.2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K8"/>
  <sheetViews>
    <sheetView showGridLines="0" topLeftCell="Q1" zoomScaleNormal="100" workbookViewId="0">
      <pane xSplit="1" ySplit="2" topLeftCell="B3" activePane="bottomRight" state="frozen"/>
      <selection pane="topRight"/>
      <selection pane="bottomLeft"/>
      <selection pane="bottomRight" activeCell="AK4" sqref="AK4"/>
    </sheetView>
  </sheetViews>
  <sheetFormatPr baseColWidth="10" defaultColWidth="8.83203125" defaultRowHeight="15" x14ac:dyDescent="0.2"/>
  <cols>
    <col min="1" max="1" width="74.5" customWidth="1"/>
    <col min="2" max="25" width="8.5" customWidth="1"/>
    <col min="26" max="37" width="9.5" customWidth="1"/>
  </cols>
  <sheetData>
    <row r="1" spans="1:37" ht="22" customHeight="1" x14ac:dyDescent="0.25">
      <c r="A1" s="6" t="s">
        <v>587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 spans="1:37" ht="15" customHeight="1" x14ac:dyDescent="0.2">
      <c r="A2" s="13" t="s">
        <v>333</v>
      </c>
      <c r="B2" s="16">
        <v>1</v>
      </c>
      <c r="C2" s="16">
        <v>2</v>
      </c>
      <c r="D2" s="16">
        <v>3</v>
      </c>
      <c r="E2" s="16">
        <v>4</v>
      </c>
      <c r="F2" s="16">
        <v>5</v>
      </c>
      <c r="G2" s="16">
        <v>6</v>
      </c>
      <c r="H2" s="16">
        <v>7</v>
      </c>
      <c r="I2" s="16">
        <v>8</v>
      </c>
      <c r="J2" s="16">
        <v>9</v>
      </c>
      <c r="K2" s="16">
        <v>10</v>
      </c>
      <c r="L2" s="16">
        <v>11</v>
      </c>
      <c r="M2" s="16">
        <v>12</v>
      </c>
      <c r="N2" s="16">
        <v>13</v>
      </c>
      <c r="O2" s="16">
        <v>14</v>
      </c>
      <c r="P2" s="16">
        <v>15</v>
      </c>
      <c r="Q2" s="16">
        <v>16</v>
      </c>
      <c r="R2" s="16">
        <v>17</v>
      </c>
      <c r="S2" s="16">
        <v>18</v>
      </c>
      <c r="T2" s="16">
        <v>19</v>
      </c>
      <c r="U2" s="16">
        <v>20</v>
      </c>
      <c r="V2" s="16">
        <v>21</v>
      </c>
      <c r="W2" s="16">
        <v>22</v>
      </c>
      <c r="X2" s="16">
        <v>23</v>
      </c>
      <c r="Y2" s="16">
        <v>24</v>
      </c>
      <c r="Z2" s="16">
        <v>25</v>
      </c>
      <c r="AA2" s="16">
        <v>26</v>
      </c>
      <c r="AB2" s="16">
        <v>27</v>
      </c>
      <c r="AC2" s="16">
        <v>28</v>
      </c>
      <c r="AD2" s="16">
        <v>29</v>
      </c>
      <c r="AE2" s="16">
        <v>30</v>
      </c>
      <c r="AF2" s="16">
        <v>31</v>
      </c>
      <c r="AG2" s="16">
        <v>32</v>
      </c>
      <c r="AH2" s="16">
        <v>33</v>
      </c>
      <c r="AI2" s="16">
        <v>34</v>
      </c>
      <c r="AJ2" s="16">
        <v>35</v>
      </c>
      <c r="AK2" s="16">
        <v>36</v>
      </c>
    </row>
    <row r="3" spans="1:37" ht="15" customHeight="1" x14ac:dyDescent="0.2">
      <c r="A3" s="11" t="s">
        <v>588</v>
      </c>
      <c r="B3" s="19">
        <f>'P&amp;L'!B5</f>
        <v>1394700</v>
      </c>
      <c r="C3" s="19">
        <f>'P&amp;L'!C5</f>
        <v>1455388.425</v>
      </c>
      <c r="D3" s="19">
        <f>'P&amp;L'!D5</f>
        <v>1518457.15215</v>
      </c>
      <c r="E3" s="19">
        <f>'P&amp;L'!E5</f>
        <v>1584033.8286087003</v>
      </c>
      <c r="F3" s="19">
        <f>'P&amp;L'!F5</f>
        <v>1652252.0104707067</v>
      </c>
      <c r="G3" s="19">
        <f>'P&amp;L'!G5</f>
        <v>1723251.4682179105</v>
      </c>
      <c r="H3" s="19">
        <f>'P&amp;L'!H5</f>
        <v>1856302.0340722492</v>
      </c>
      <c r="I3" s="19">
        <f>'P&amp;L'!I5</f>
        <v>1934492.3004762842</v>
      </c>
      <c r="J3" s="19">
        <f>'P&amp;L'!J5</f>
        <v>2015947.3723734012</v>
      </c>
      <c r="K3" s="19">
        <f>'P&amp;L'!K5</f>
        <v>2100835.7146387212</v>
      </c>
      <c r="L3" s="19">
        <f>'P&amp;L'!L5</f>
        <v>2189333.7822610531</v>
      </c>
      <c r="M3" s="19">
        <f>'P&amp;L'!M5</f>
        <v>2281626.4274155251</v>
      </c>
      <c r="N3" s="19">
        <f>'P&amp;L'!N5</f>
        <v>2550347.5759644657</v>
      </c>
      <c r="O3" s="19">
        <f>'P&amp;L'!O5</f>
        <v>2649509.1128086625</v>
      </c>
      <c r="P3" s="19">
        <f>'P&amp;L'!P5</f>
        <v>2752514.0529363444</v>
      </c>
      <c r="Q3" s="19">
        <f>'P&amp;L'!Q5</f>
        <v>2859537.0597735019</v>
      </c>
      <c r="R3" s="19">
        <f>'P&amp;L'!R5</f>
        <v>2970760.1980828652</v>
      </c>
      <c r="S3" s="19">
        <f>'P&amp;L'!S5</f>
        <v>3086373.2700976366</v>
      </c>
      <c r="T3" s="19">
        <f>'P&amp;L'!T5</f>
        <v>3206574.166375909</v>
      </c>
      <c r="U3" s="19">
        <f>'P&amp;L'!U5</f>
        <v>3331569.2320399843</v>
      </c>
      <c r="V3" s="19">
        <f>'P&amp;L'!V5</f>
        <v>3461573.6490942491</v>
      </c>
      <c r="W3" s="19">
        <f>'P&amp;L'!W5</f>
        <v>3596811.8355460106</v>
      </c>
      <c r="X3" s="19">
        <f>'P&amp;L'!X5</f>
        <v>3737517.8620859114</v>
      </c>
      <c r="Y3" s="19">
        <f>'P&amp;L'!Y5</f>
        <v>3883935.8871180704</v>
      </c>
      <c r="Z3" s="19">
        <f>'P&amp;L'!Z5</f>
        <v>4323137.5828078501</v>
      </c>
      <c r="AA3" s="19">
        <f>'P&amp;L'!AA5</f>
        <v>4482164.7560903095</v>
      </c>
      <c r="AB3" s="19">
        <f>'P&amp;L'!AB5</f>
        <v>4645654.4033664605</v>
      </c>
      <c r="AC3" s="19">
        <f>'P&amp;L'!AC5</f>
        <v>4813798.6996990116</v>
      </c>
      <c r="AD3" s="19">
        <f>'P&amp;L'!AD5</f>
        <v>4986795.7152400799</v>
      </c>
      <c r="AE3" s="19">
        <f>'P&amp;L'!AE5</f>
        <v>5164849.6590295993</v>
      </c>
      <c r="AF3" s="19">
        <f>'P&amp;L'!AF5</f>
        <v>5348171.1307455627</v>
      </c>
      <c r="AG3" s="19">
        <f>'P&amp;L'!AG5</f>
        <v>5536977.3807238294</v>
      </c>
      <c r="AH3" s="19">
        <f>'P&amp;L'!AH5</f>
        <v>5731492.5785759585</v>
      </c>
      <c r="AI3" s="19">
        <f>'P&amp;L'!AI5</f>
        <v>5931948.0907447897</v>
      </c>
      <c r="AJ3" s="19">
        <f>'P&amp;L'!AJ5</f>
        <v>6138582.76734915</v>
      </c>
      <c r="AK3" s="19">
        <f>'P&amp;L'!AK5</f>
        <v>6351643.2386810975</v>
      </c>
    </row>
    <row r="4" spans="1:37" ht="15" customHeight="1" x14ac:dyDescent="0.2">
      <c r="A4" s="11" t="s">
        <v>589</v>
      </c>
      <c r="B4" s="19">
        <f>'P&amp;L'!B25</f>
        <v>-2233825.5127666667</v>
      </c>
      <c r="C4" s="19">
        <f>'P&amp;L'!C25</f>
        <v>-2045678.927729761</v>
      </c>
      <c r="D4" s="19">
        <f>'P&amp;L'!D25</f>
        <v>-1984011.6491345786</v>
      </c>
      <c r="E4" s="19">
        <f>'P&amp;L'!E25</f>
        <v>-1919912.6325646117</v>
      </c>
      <c r="F4" s="19">
        <f>'P&amp;L'!F25</f>
        <v>-1853250.6923165529</v>
      </c>
      <c r="G4" s="19">
        <f>'P&amp;L'!G25</f>
        <v>-1783888.4835621053</v>
      </c>
      <c r="H4" s="19">
        <f>'P&amp;L'!H25</f>
        <v>-1652558.6569556464</v>
      </c>
      <c r="I4" s="19">
        <f>'P&amp;L'!I25</f>
        <v>-1576175.1621785217</v>
      </c>
      <c r="J4" s="19">
        <f>'P&amp;L'!J25</f>
        <v>-1496615.4977512234</v>
      </c>
      <c r="K4" s="19">
        <f>'P&amp;L'!K25</f>
        <v>-1413713.865765559</v>
      </c>
      <c r="L4" s="19">
        <f>'P&amp;L'!L25</f>
        <v>-1327296.5439398214</v>
      </c>
      <c r="M4" s="19">
        <f>'P&amp;L'!M25</f>
        <v>-2322512.5066450229</v>
      </c>
      <c r="N4" s="19">
        <f>'P&amp;L'!N25</f>
        <v>-1275237.4595477737</v>
      </c>
      <c r="O4" s="19">
        <f>'P&amp;L'!O25</f>
        <v>-1179721.9794360935</v>
      </c>
      <c r="P4" s="19">
        <f>'P&amp;L'!P25</f>
        <v>-1080161.2952739848</v>
      </c>
      <c r="Q4" s="19">
        <f>'P&amp;L'!Q25</f>
        <v>-976723.81478841172</v>
      </c>
      <c r="R4" s="19">
        <f>'P&amp;L'!R25</f>
        <v>-869231.51020547224</v>
      </c>
      <c r="S4" s="19">
        <f>'P&amp;L'!S25</f>
        <v>-757498.71476444462</v>
      </c>
      <c r="T4" s="19">
        <f>'P&amp;L'!T25</f>
        <v>-641331.77473789209</v>
      </c>
      <c r="U4" s="19">
        <f>'P&amp;L'!U25</f>
        <v>-520528.68614828913</v>
      </c>
      <c r="V4" s="19">
        <f>'P&amp;L'!V25</f>
        <v>-394878.71549048001</v>
      </c>
      <c r="W4" s="19">
        <f>'P&amp;L'!W25</f>
        <v>-264162.00373862725</v>
      </c>
      <c r="X4" s="19">
        <f>'P&amp;L'!X25</f>
        <v>-128149.152884222</v>
      </c>
      <c r="Y4" s="19">
        <f>'P&amp;L'!Y25</f>
        <v>-1890951.9893144758</v>
      </c>
      <c r="Z4" s="19">
        <f>'P&amp;L'!Z25</f>
        <v>-427383.28945863771</v>
      </c>
      <c r="AA4" s="19">
        <f>'P&amp;L'!AA25</f>
        <v>-293705.31981892273</v>
      </c>
      <c r="AB4" s="19">
        <f>'P&amp;L'!AB25</f>
        <v>-137403.08326168865</v>
      </c>
      <c r="AC4" s="19">
        <f>'P&amp;L'!AC25</f>
        <v>23318.509819203231</v>
      </c>
      <c r="AD4" s="19">
        <f>'P&amp;L'!AD25</f>
        <v>188650.2245367846</v>
      </c>
      <c r="AE4" s="19">
        <f>'P&amp;L'!AE25</f>
        <v>358788.80107379716</v>
      </c>
      <c r="AF4" s="19">
        <f>'P&amp;L'!AF25</f>
        <v>533937.20147899794</v>
      </c>
      <c r="AG4" s="19">
        <f>'P&amp;L'!AG25</f>
        <v>714304.86462662288</v>
      </c>
      <c r="AH4" s="19">
        <f>'P&amp;L'!AH25</f>
        <v>900107.96966394573</v>
      </c>
      <c r="AI4" s="19">
        <f>'P&amp;L'!AI25</f>
        <v>1091569.70828307</v>
      </c>
      <c r="AJ4" s="19">
        <f>'P&amp;L'!AJ25</f>
        <v>1288920.5661646698</v>
      </c>
      <c r="AK4" s="19">
        <f>'P&amp;L'!AK25</f>
        <v>-1680362.1861993496</v>
      </c>
    </row>
    <row r="5" spans="1:37" ht="15" customHeight="1" x14ac:dyDescent="0.2">
      <c r="A5" s="11" t="s">
        <v>566</v>
      </c>
      <c r="B5" s="19">
        <f>Tresorerie!D25</f>
        <v>44385929.215645909</v>
      </c>
      <c r="C5" s="19">
        <f>Tresorerie!E25</f>
        <v>41847420.890691809</v>
      </c>
      <c r="D5" s="19">
        <f>Tresorerie!F25</f>
        <v>39366271.123853713</v>
      </c>
      <c r="E5" s="19">
        <f>Tresorerie!G25</f>
        <v>36944879.337702803</v>
      </c>
      <c r="F5" s="19">
        <f>Tresorerie!H25</f>
        <v>34585775.89814806</v>
      </c>
      <c r="G5" s="19">
        <f>Tresorerie!I25</f>
        <v>32291628.271743476</v>
      </c>
      <c r="H5" s="19">
        <f>Tresorerie!J25</f>
        <v>30124371.028374031</v>
      </c>
      <c r="I5" s="19">
        <f>Tresorerie!K25</f>
        <v>28029024.540383607</v>
      </c>
      <c r="J5" s="19">
        <f>Tresorerie!L25</f>
        <v>26008731.431876894</v>
      </c>
      <c r="K5" s="19">
        <f>Tresorerie!M25</f>
        <v>24066799.873275176</v>
      </c>
      <c r="L5" s="19">
        <f>Tresorerie!N25</f>
        <v>22206711.503802925</v>
      </c>
      <c r="M5" s="19">
        <f>Tresorerie!O25</f>
        <v>19346798.732933979</v>
      </c>
      <c r="N5" s="19">
        <f>Tresorerie!P25</f>
        <v>17529518.007180605</v>
      </c>
      <c r="O5" s="19">
        <f>Tresorerie!Q25</f>
        <v>15803074.937042369</v>
      </c>
      <c r="P5" s="19">
        <f>Tresorerie!R25</f>
        <v>14171479.642885974</v>
      </c>
      <c r="Q5" s="19">
        <f>Tresorerie!S25</f>
        <v>12638573.574223535</v>
      </c>
      <c r="R5" s="19">
        <f>Tresorerie!T25</f>
        <v>11208375.943239979</v>
      </c>
      <c r="S5" s="19">
        <f>Tresorerie!U25</f>
        <v>9885091.3617916163</v>
      </c>
      <c r="T5" s="19">
        <f>Tresorerie!V25</f>
        <v>8673117.8263696767</v>
      </c>
      <c r="U5" s="19">
        <f>Tresorerie!W25</f>
        <v>7577055.0663322099</v>
      </c>
      <c r="V5" s="19">
        <f>Tresorerie!X25</f>
        <v>6601713.2713983832</v>
      </c>
      <c r="W5" s="19">
        <f>Tresorerie!Y25</f>
        <v>5752122.2151205838</v>
      </c>
      <c r="X5" s="19">
        <f>Tresorerie!Z25</f>
        <v>5033540.7918031458</v>
      </c>
      <c r="Y5" s="19">
        <f>Tresorerie!AA25</f>
        <v>2547115.7900272049</v>
      </c>
      <c r="Z5" s="19">
        <f>Tresorerie!AB25</f>
        <v>1519180.9405136413</v>
      </c>
      <c r="AA5" s="19">
        <f>Tresorerie!AC25</f>
        <v>619807.42393938091</v>
      </c>
      <c r="AB5" s="19">
        <f>Tresorerie!AD25</f>
        <v>-128418.86755331059</v>
      </c>
      <c r="AC5" s="19">
        <f>Tresorerie!AE25</f>
        <v>-721117.2400268428</v>
      </c>
      <c r="AD5" s="19">
        <f>Tresorerie!AF25</f>
        <v>-1153716.5243999888</v>
      </c>
      <c r="AE5" s="19">
        <f>Tresorerie!AG25</f>
        <v>-1421449.1035529471</v>
      </c>
      <c r="AF5" s="19">
        <f>Tresorerie!AH25</f>
        <v>-1519344.6926524052</v>
      </c>
      <c r="AG5" s="19">
        <f>Tresorerie!AI25</f>
        <v>-1442223.8645335769</v>
      </c>
      <c r="AH5" s="19">
        <f>Tresorerie!AJ25</f>
        <v>-1184691.311651234</v>
      </c>
      <c r="AI5" s="19">
        <f>Tresorerie!AK25</f>
        <v>-741128.83577562892</v>
      </c>
      <c r="AJ5" s="19">
        <f>Tresorerie!AL25</f>
        <v>-105688.05626147997</v>
      </c>
      <c r="AK5" s="19">
        <f>Tresorerie!AM25</f>
        <v>-2445043.6275112294</v>
      </c>
    </row>
    <row r="6" spans="1:37" ht="15" customHeight="1" x14ac:dyDescent="0.2">
      <c r="A6" s="11" t="s">
        <v>590</v>
      </c>
      <c r="B6" s="19">
        <f>'Plan ventes'!B61</f>
        <v>1020000</v>
      </c>
      <c r="C6" s="19">
        <f>'Plan ventes'!C61</f>
        <v>1073400</v>
      </c>
      <c r="D6" s="19">
        <f>'Plan ventes'!D61</f>
        <v>1129038</v>
      </c>
      <c r="E6" s="19">
        <f>'Plan ventes'!E61</f>
        <v>1187038.8600000003</v>
      </c>
      <c r="F6" s="19">
        <f>'Plan ventes'!F61</f>
        <v>1247533.2942000001</v>
      </c>
      <c r="G6" s="19">
        <f>'Plan ventes'!G61</f>
        <v>1310658.1753740003</v>
      </c>
      <c r="H6" s="19">
        <f>'Plan ventes'!H61</f>
        <v>1376556.8541127804</v>
      </c>
      <c r="I6" s="19">
        <f>'Plan ventes'!I61</f>
        <v>1445379.4936893969</v>
      </c>
      <c r="J6" s="19">
        <f>'Plan ventes'!J61</f>
        <v>1517283.4213387151</v>
      </c>
      <c r="K6" s="19">
        <f>'Plan ventes'!K61</f>
        <v>1592433.4967815536</v>
      </c>
      <c r="L6" s="19">
        <f>'Plan ventes'!L61</f>
        <v>1671002.4988652573</v>
      </c>
      <c r="M6" s="19">
        <f>'Plan ventes'!M61</f>
        <v>1753171.5312358073</v>
      </c>
      <c r="N6" s="19">
        <f>'Plan ventes'!N61</f>
        <v>1968528.0853772813</v>
      </c>
      <c r="O6" s="19">
        <f>'Plan ventes'!O61</f>
        <v>2055050.199048385</v>
      </c>
      <c r="P6" s="19">
        <f>'Plan ventes'!P61</f>
        <v>2145139.3401407185</v>
      </c>
      <c r="Q6" s="19">
        <f>'Plan ventes'!Q61</f>
        <v>2238964.1017441107</v>
      </c>
      <c r="R6" s="19">
        <f>'Plan ventes'!R61</f>
        <v>2336700.3445373555</v>
      </c>
      <c r="S6" s="19">
        <f>'Plan ventes'!S61</f>
        <v>2438531.5299683735</v>
      </c>
      <c r="T6" s="19">
        <f>'Plan ventes'!T61</f>
        <v>2544649.0680897236</v>
      </c>
      <c r="U6" s="19">
        <f>'Plan ventes'!U61</f>
        <v>2655252.6807122282</v>
      </c>
      <c r="V6" s="19">
        <f>'Plan ventes'!V61</f>
        <v>2770550.7805688954</v>
      </c>
      <c r="W6" s="19">
        <f>'Plan ventes'!W61</f>
        <v>2890760.8672120287</v>
      </c>
      <c r="X6" s="19">
        <f>'Plan ventes'!X61</f>
        <v>3016109.940398592</v>
      </c>
      <c r="Y6" s="19">
        <f>'Plan ventes'!Y61</f>
        <v>3146834.9317524019</v>
      </c>
      <c r="Z6" s="19">
        <f>'Plan ventes'!Z61</f>
        <v>3509805.2914821743</v>
      </c>
      <c r="AA6" s="19">
        <f>'Plan ventes'!AA61</f>
        <v>3649221.0168198212</v>
      </c>
      <c r="AB6" s="19">
        <f>'Plan ventes'!AB61</f>
        <v>3792622.6452298276</v>
      </c>
      <c r="AC6" s="19">
        <f>'Plan ventes'!AC61</f>
        <v>3940190.7248755335</v>
      </c>
      <c r="AD6" s="19">
        <f>'Plan ventes'!AD61</f>
        <v>4092111.4147814028</v>
      </c>
      <c r="AE6" s="19">
        <f>'Plan ventes'!AE61</f>
        <v>4248576.7216762844</v>
      </c>
      <c r="AF6" s="19">
        <f>'Plan ventes'!AF61</f>
        <v>4409784.7446182379</v>
      </c>
      <c r="AG6" s="19">
        <f>'Plan ventes'!AG61</f>
        <v>4575939.9277144568</v>
      </c>
      <c r="AH6" s="19">
        <f>'Plan ventes'!AH61</f>
        <v>4747253.3212605165</v>
      </c>
      <c r="AI6" s="19">
        <f>'Plan ventes'!AI61</f>
        <v>4923942.8516342547</v>
      </c>
      <c r="AJ6" s="19">
        <f>'Plan ventes'!AJ61</f>
        <v>5106233.6002912028</v>
      </c>
      <c r="AK6" s="19">
        <f>'Plan ventes'!AK61</f>
        <v>5294358.0922203781</v>
      </c>
    </row>
    <row r="7" spans="1:37" ht="15" customHeight="1" x14ac:dyDescent="0.2">
      <c r="A7" s="11" t="s">
        <v>591</v>
      </c>
      <c r="B7" s="19">
        <f>'Plan ventes'!B60</f>
        <v>2970000</v>
      </c>
      <c r="C7" s="19">
        <f>'Plan ventes'!C60</f>
        <v>3028350</v>
      </c>
      <c r="D7" s="19">
        <f>'Plan ventes'!D60</f>
        <v>3087849.9</v>
      </c>
      <c r="E7" s="19">
        <f>'Plan ventes'!E60</f>
        <v>3148522.4172000005</v>
      </c>
      <c r="F7" s="19">
        <f>'Plan ventes'!F60</f>
        <v>3210390.7184946006</v>
      </c>
      <c r="G7" s="19">
        <f>'Plan ventes'!G60</f>
        <v>3273478.4293892784</v>
      </c>
      <c r="H7" s="19">
        <f>'Plan ventes'!H60</f>
        <v>3337809.643093687</v>
      </c>
      <c r="I7" s="19">
        <f>'Plan ventes'!I60</f>
        <v>3403408.9297954906</v>
      </c>
      <c r="J7" s="19">
        <f>'Plan ventes'!J60</f>
        <v>3470301.346118323</v>
      </c>
      <c r="K7" s="19">
        <f>'Plan ventes'!K60</f>
        <v>3538512.4447675408</v>
      </c>
      <c r="L7" s="19">
        <f>'Plan ventes'!L60</f>
        <v>3608068.2843674812</v>
      </c>
      <c r="M7" s="19">
        <f>'Plan ventes'!M60</f>
        <v>3678995.4394940599</v>
      </c>
      <c r="N7" s="19">
        <f>'Plan ventes'!N60</f>
        <v>4050968.7052322244</v>
      </c>
      <c r="O7" s="19">
        <f>'Plan ventes'!O60</f>
        <v>4139496.2049496495</v>
      </c>
      <c r="P7" s="19">
        <f>'Plan ventes'!P60</f>
        <v>4229971.1550351083</v>
      </c>
      <c r="Q7" s="19">
        <f>'Plan ventes'!Q60</f>
        <v>4322436.58047581</v>
      </c>
      <c r="R7" s="19">
        <f>'Plan ventes'!R60</f>
        <v>4416936.4595039627</v>
      </c>
      <c r="S7" s="19">
        <f>'Plan ventes'!S60</f>
        <v>4513515.7447568048</v>
      </c>
      <c r="T7" s="19">
        <f>'Plan ventes'!T60</f>
        <v>4612220.38490697</v>
      </c>
      <c r="U7" s="19">
        <f>'Plan ventes'!U60</f>
        <v>4713097.346773643</v>
      </c>
      <c r="V7" s="19">
        <f>'Plan ventes'!V60</f>
        <v>4816194.6379252085</v>
      </c>
      <c r="W7" s="19">
        <f>'Plan ventes'!W60</f>
        <v>4921561.3297843318</v>
      </c>
      <c r="X7" s="19">
        <f>'Plan ventes'!X60</f>
        <v>5029247.5812466349</v>
      </c>
      <c r="Y7" s="19">
        <f>'Plan ventes'!Y60</f>
        <v>5139304.6628244137</v>
      </c>
      <c r="Z7" s="19">
        <f>'Plan ventes'!Z60</f>
        <v>5671495.7756192666</v>
      </c>
      <c r="AA7" s="19">
        <f>'Plan ventes'!AA60</f>
        <v>5808025.8436288787</v>
      </c>
      <c r="AB7" s="19">
        <f>'Plan ventes'!AB60</f>
        <v>5947870.8979233708</v>
      </c>
      <c r="AC7" s="19">
        <f>'Plan ventes'!AC60</f>
        <v>6091111.7798558734</v>
      </c>
      <c r="AD7" s="19">
        <f>'Plan ventes'!AD60</f>
        <v>6237831.3065846134</v>
      </c>
      <c r="AE7" s="19">
        <f>'Plan ventes'!AE60</f>
        <v>6388114.3194162166</v>
      </c>
      <c r="AF7" s="19">
        <f>'Plan ventes'!AF60</f>
        <v>6542047.7333325278</v>
      </c>
      <c r="AG7" s="19">
        <f>'Plan ventes'!AG60</f>
        <v>6699720.5877299085</v>
      </c>
      <c r="AH7" s="19">
        <f>'Plan ventes'!AH60</f>
        <v>6861224.0984007148</v>
      </c>
      <c r="AI7" s="19">
        <f>'Plan ventes'!AI60</f>
        <v>7026651.7107873773</v>
      </c>
      <c r="AJ7" s="19">
        <f>'Plan ventes'!AJ60</f>
        <v>7196099.1545402333</v>
      </c>
      <c r="AK7" s="19">
        <f>'Plan ventes'!AK60</f>
        <v>7369664.499411054</v>
      </c>
    </row>
    <row r="8" spans="1:37" ht="15" customHeight="1" x14ac:dyDescent="0.2">
      <c r="A8" s="11" t="s">
        <v>592</v>
      </c>
      <c r="B8" s="20">
        <f>B4</f>
        <v>-2233825.5127666667</v>
      </c>
      <c r="C8" s="20">
        <f t="shared" ref="C8:AK8" si="0">B8+C4</f>
        <v>-4279504.4404964279</v>
      </c>
      <c r="D8" s="20">
        <f t="shared" si="0"/>
        <v>-6263516.0896310061</v>
      </c>
      <c r="E8" s="20">
        <f t="shared" si="0"/>
        <v>-8183428.7221956179</v>
      </c>
      <c r="F8" s="20">
        <f t="shared" si="0"/>
        <v>-10036679.41451217</v>
      </c>
      <c r="G8" s="20">
        <f t="shared" si="0"/>
        <v>-11820567.898074277</v>
      </c>
      <c r="H8" s="20">
        <f t="shared" si="0"/>
        <v>-13473126.555029923</v>
      </c>
      <c r="I8" s="20">
        <f t="shared" si="0"/>
        <v>-15049301.717208445</v>
      </c>
      <c r="J8" s="20">
        <f t="shared" si="0"/>
        <v>-16545917.214959668</v>
      </c>
      <c r="K8" s="20">
        <f t="shared" si="0"/>
        <v>-17959631.080725227</v>
      </c>
      <c r="L8" s="20">
        <f t="shared" si="0"/>
        <v>-19286927.624665048</v>
      </c>
      <c r="M8" s="20">
        <f t="shared" si="0"/>
        <v>-21609440.131310072</v>
      </c>
      <c r="N8" s="20">
        <f t="shared" si="0"/>
        <v>-22884677.590857845</v>
      </c>
      <c r="O8" s="20">
        <f t="shared" si="0"/>
        <v>-24064399.570293937</v>
      </c>
      <c r="P8" s="20">
        <f t="shared" si="0"/>
        <v>-25144560.865567923</v>
      </c>
      <c r="Q8" s="20">
        <f t="shared" si="0"/>
        <v>-26121284.680356335</v>
      </c>
      <c r="R8" s="20">
        <f t="shared" si="0"/>
        <v>-26990516.190561809</v>
      </c>
      <c r="S8" s="20">
        <f t="shared" si="0"/>
        <v>-27748014.905326255</v>
      </c>
      <c r="T8" s="20">
        <f t="shared" si="0"/>
        <v>-28389346.680064145</v>
      </c>
      <c r="U8" s="20">
        <f t="shared" si="0"/>
        <v>-28909875.366212435</v>
      </c>
      <c r="V8" s="20">
        <f t="shared" si="0"/>
        <v>-29304754.081702914</v>
      </c>
      <c r="W8" s="20">
        <f t="shared" si="0"/>
        <v>-29568916.085441541</v>
      </c>
      <c r="X8" s="20">
        <f t="shared" si="0"/>
        <v>-29697065.238325763</v>
      </c>
      <c r="Y8" s="20">
        <f t="shared" si="0"/>
        <v>-31588017.227640238</v>
      </c>
      <c r="Z8" s="20">
        <f t="shared" si="0"/>
        <v>-32015400.517098874</v>
      </c>
      <c r="AA8" s="20">
        <f t="shared" si="0"/>
        <v>-32309105.836917795</v>
      </c>
      <c r="AB8" s="20">
        <f t="shared" si="0"/>
        <v>-32446508.920179483</v>
      </c>
      <c r="AC8" s="20">
        <f t="shared" si="0"/>
        <v>-32423190.41036028</v>
      </c>
      <c r="AD8" s="20">
        <f t="shared" si="0"/>
        <v>-32234540.185823496</v>
      </c>
      <c r="AE8" s="20">
        <f t="shared" si="0"/>
        <v>-31875751.384749699</v>
      </c>
      <c r="AF8" s="20">
        <f t="shared" si="0"/>
        <v>-31341814.1832707</v>
      </c>
      <c r="AG8" s="20">
        <f t="shared" si="0"/>
        <v>-30627509.318644077</v>
      </c>
      <c r="AH8" s="20">
        <f t="shared" si="0"/>
        <v>-29727401.348980132</v>
      </c>
      <c r="AI8" s="20">
        <f t="shared" si="0"/>
        <v>-28635831.640697062</v>
      </c>
      <c r="AJ8" s="20">
        <f t="shared" si="0"/>
        <v>-27346911.074532393</v>
      </c>
      <c r="AK8" s="20">
        <f t="shared" si="0"/>
        <v>-29027273.260731742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Lisez-moi</vt:lpstr>
      <vt:lpstr>Dashboard</vt:lpstr>
      <vt:lpstr>Parametres</vt:lpstr>
      <vt:lpstr>Scenarios</vt:lpstr>
      <vt:lpstr>Plan ventes</vt:lpstr>
      <vt:lpstr>Contribution</vt:lpstr>
      <vt:lpstr>P&amp;L</vt:lpstr>
      <vt:lpstr>Bilan</vt:lpstr>
      <vt:lpstr>Amortissements</vt:lpstr>
      <vt:lpstr>Financement</vt:lpstr>
      <vt:lpstr>Tresorerie</vt:lpstr>
      <vt:lpstr>KPI</vt:lpstr>
      <vt:lpstr>Base graphique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cp:revision>10</cp:revision>
  <dcterms:created xsi:type="dcterms:W3CDTF">2026-08-24T22:31:12Z</dcterms:created>
  <dcterms:modified xsi:type="dcterms:W3CDTF">2026-09-01T22:09:32Z</dcterms:modified>
  <dc:language>en-US</dc:language>
</cp:coreProperties>
</file>